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Ipotesi" sheetId="2" state="visible" r:id="rId2"/>
    <sheet xmlns:r="http://schemas.openxmlformats.org/officeDocument/2006/relationships" name="Conti per prodotto" sheetId="3" state="visible" r:id="rId3"/>
    <sheet xmlns:r="http://schemas.openxmlformats.org/officeDocument/2006/relationships" name="Costi B2Brand" sheetId="4" state="visible" r:id="rId4"/>
    <sheet xmlns:r="http://schemas.openxmlformats.org/officeDocument/2006/relationships" name="Stagionalità" sheetId="5" state="visible" r:id="rId5"/>
    <sheet xmlns:r="http://schemas.openxmlformats.org/officeDocument/2006/relationships" name="Scenari" sheetId="6" state="visible" r:id="rId6"/>
    <sheet xmlns:r="http://schemas.openxmlformats.org/officeDocument/2006/relationships" name="Equilibrio" sheetId="7" state="visible" r:id="rId7"/>
    <sheet xmlns:r="http://schemas.openxmlformats.org/officeDocument/2006/relationships" name="Ambizioso - cosa serve" sheetId="8" state="visible" r:id="rId8"/>
    <sheet xmlns:r="http://schemas.openxmlformats.org/officeDocument/2006/relationships" name="Logistica" sheetId="9" state="visible" r:id="rId9"/>
    <sheet xmlns:r="http://schemas.openxmlformats.org/officeDocument/2006/relationships" name="Confronto accord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color rgb="0080808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2" fontId="0" fillId="0" borderId="1" pivotButton="0" quotePrefix="0" xfId="0"/>
    <xf numFmtId="2" fontId="0" fillId="4" borderId="1" pivotButton="0" quotePrefix="0" xfId="0"/>
    <xf numFmtId="9" fontId="0" fillId="0" borderId="1" pivotButton="0" quotePrefix="0" xfId="0"/>
    <xf numFmtId="2" fontId="0" fillId="4" borderId="0" pivotButton="0" quotePrefix="0" xfId="0"/>
    <xf numFmtId="2" fontId="0" fillId="0" borderId="0" pivotButton="0" quotePrefix="0" xfId="0"/>
    <xf numFmtId="9" fontId="0" fillId="4" borderId="0" pivotButton="0" quotePrefix="0" xfId="0"/>
    <xf numFmtId="0" fontId="2" fillId="2" borderId="1" pivotButton="0" quotePrefix="0" xfId="0"/>
    <xf numFmtId="0" fontId="2" fillId="4" borderId="0" pivotButton="0" quotePrefix="0" xfId="0"/>
    <xf numFmtId="0" fontId="3" fillId="0" borderId="0" pivotButton="0" quotePrefix="0" xfId="0"/>
    <xf numFmtId="0" fontId="0" fillId="4" borderId="1" pivotButton="0" quotePrefix="0" xfId="0"/>
    <xf numFmtId="3" fontId="0" fillId="4" borderId="1" pivotButton="0" quotePrefix="0" xfId="0"/>
    <xf numFmtId="3" fontId="0" fillId="0" borderId="1" pivotButton="0" quotePrefix="0" xfId="0"/>
    <xf numFmtId="0" fontId="4" fillId="0" borderId="1" pivotButton="0" quotePrefix="0" xfId="0"/>
    <xf numFmtId="3" fontId="0" fillId="4" borderId="0" pivotButton="0" quotePrefix="0" xfId="0"/>
    <xf numFmtId="164" fontId="0" fillId="4" borderId="0" pivotButton="0" quotePrefix="0" xfId="0"/>
    <xf numFmtId="3" fontId="0" fillId="0" borderId="0" pivotButton="0" quotePrefix="0" xfId="0"/>
    <xf numFmtId="164" fontId="0" fillId="3" borderId="1" pivotButton="0" quotePrefix="0" xfId="0"/>
    <xf numFmtId="9" fontId="0" fillId="3" borderId="1" pivotButton="0" quotePrefix="0" xfId="0"/>
    <xf numFmtId="2" fontId="0" fillId="3" borderId="1" pivotButton="0" quotePrefix="0" xfId="0"/>
    <xf numFmtId="165" fontId="0" fillId="3" borderId="1" pivotButton="0" quotePrefix="0" xfId="0"/>
    <xf numFmtId="165" fontId="0" fillId="4" borderId="1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Scenari Kalab × B2Brand — come usare questo foglio (aggiornato il 04/10/2026)</t>
        </is>
      </c>
    </row>
    <row r="2">
      <c r="A2" s="2" t="inlineStr"/>
    </row>
    <row r="3">
      <c r="A3" s="2" t="inlineStr">
        <is>
          <t>Le celle AZZURRE sono ipotesi: cambiale e tutto il resto si ricalcola. Le celle VERDI sono i risultati da guardare.</t>
        </is>
      </c>
    </row>
    <row r="4">
      <c r="A4" s="2" t="inlineStr"/>
    </row>
    <row r="5">
      <c r="A5" s="2" t="inlineStr">
        <is>
          <t>Cosa è cambiato il 04/10: costo vero delle creme (~1 € a vasetto, da Luciano); catalogo solo non deperibile (polveri, secco, creme, sott'olio, kit e box: semi, piantine e fresco a mix zero); obiettivo 1.000 € al mese; nuovo foglio Logistica. Poi, sempre il 04/10: le ore di B2Brand escono dai conti (sito e contenuti li fa Claude Code) e l'accordo diventa «metà del margine» (foglio Equilibrio); si torna alla percentuale fissa scrivendo «percentuale» nella cella Modello delle Ipotesi.</t>
        </is>
      </c>
    </row>
    <row r="6">
      <c r="A6" s="2" t="inlineStr"/>
    </row>
    <row r="7">
      <c r="A7" s="2" t="inlineStr">
        <is>
          <t>Fogli:</t>
        </is>
      </c>
    </row>
    <row r="8">
      <c r="A8" s="2" t="inlineStr">
        <is>
          <t>• Ipotesi — un «ordine tipo» per categoria: prezzo, IVA, costi, spedizione, commissioni, quota del mix. In fondo: percentuale di B2Brand, base di calcolo («netto» = merce senza IVA e senza commissioni, la spedizione passa a Kalab al costo; «lordo» = tutto l'incasso, IVA e spedizione comprese) e obiettivo mensile di B2Brand.</t>
        </is>
      </c>
    </row>
    <row r="9">
      <c r="A9" s="2" t="inlineStr">
        <is>
          <t>• Conti per prodotto — per ogni ordine tipo: quanto va a B2Brand e quanto resta a Kalab dopo prodotto, imballo, spedizione e perdite (colonna O).</t>
        </is>
      </c>
    </row>
    <row r="10">
      <c r="A10" s="2" t="inlineStr">
        <is>
          <t>• Costi B2Brand — i soldi che B2Brand anticipa e spende ogni mese (le ore non contano: lavora Claude Code). I video social non sono nell'accordo.</t>
        </is>
      </c>
    </row>
    <row r="11">
      <c r="A11" s="2" t="inlineStr">
        <is>
          <t>• Stagionalità — peso di ogni mese (media = 1), da Google Trends e dai dati del Natale online.</t>
        </is>
      </c>
    </row>
    <row r="12">
      <c r="A12" s="2" t="inlineStr">
        <is>
          <t>• Scenari — in alto le leve (ordini, pubblicità) e gli ordini al mese che servono per l'obiettivo; sotto, 36 mesi per scenario con il netto di B2Brand e di Kalab affiancati; in fondo il riepilogo.</t>
        </is>
      </c>
    </row>
    <row r="13">
      <c r="A13" s="2" t="inlineStr">
        <is>
          <t>• Equilibrio — la percentuale della merce netta che dà la stessa cifra a B2Brand e Kalab, secondo i volumi, e quanto prende ciascuno.</t>
        </is>
      </c>
    </row>
    <row r="14">
      <c r="A14" s="2" t="inlineStr">
        <is>
          <t>• Logistica — quanto costa a ordine la corsa pomeridiana all'hub contro un magazzino conto terzi vicino all'hub.</t>
        </is>
      </c>
    </row>
    <row r="15">
      <c r="A15" s="2" t="inlineStr">
        <is>
          <t>• Confronto accordi — lo stesso ordine medio con percentuali e basi diverse.</t>
        </is>
      </c>
    </row>
    <row r="16">
      <c r="A16" s="2" t="inlineStr"/>
    </row>
    <row r="17">
      <c r="A17" s="2" t="inlineStr">
        <is>
          <t>Avvertenze:</t>
        </is>
      </c>
    </row>
    <row r="18">
      <c r="A18" s="2" t="inlineStr">
        <is>
          <t>• I costi di polveri, sott'olio e kit sono ancora STIME allineate al dato delle creme: vanno chiesti a Luciano.</t>
        </is>
      </c>
    </row>
    <row r="19">
      <c r="A19" s="2" t="inlineStr">
        <is>
          <t>• «Netto di cassa» è prima delle tasse di B2Brand. La quota è senza IVA: se Kalab è nel regime speciale agricolo, l'IVA sulla fattura di B2Brand per lui è un costo (report, cap. 7).</t>
        </is>
      </c>
    </row>
    <row r="20">
      <c r="A20" s="2" t="inlineStr">
        <is>
          <t>• Il mese 1 del piano è marzo 2027. Si cambia in scenari/ipotesi.py (mese_avvio) e si rigenera con: python3 scenari/genera_xlsx.py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70" customWidth="1" min="12" max="12"/>
  </cols>
  <sheetData>
    <row r="1" ht="48" customHeight="1">
      <c r="A1" s="3" t="inlineStr">
        <is>
          <t>Categoria</t>
        </is>
      </c>
      <c r="B1" s="3" t="inlineStr">
        <is>
          <t>Prezzo medio al pubblico (€, IVA incl.)</t>
        </is>
      </c>
      <c r="C1" s="3" t="inlineStr">
        <is>
          <t>IVA %</t>
        </is>
      </c>
      <c r="D1" s="3" t="inlineStr">
        <is>
          <t>Costo prodotto (€)</t>
        </is>
      </c>
      <c r="E1" s="3" t="inlineStr">
        <is>
          <t>Imballo (€)</t>
        </is>
      </c>
      <c r="F1" s="3" t="inlineStr">
        <is>
          <t>Spedizione pagata dal cliente (€)</t>
        </is>
      </c>
      <c r="G1" s="3" t="inlineStr">
        <is>
          <t>Spedizione costo vero (€)</t>
        </is>
      </c>
      <c r="H1" s="3" t="inlineStr">
        <is>
          <t>Commissione pagamento %</t>
        </is>
      </c>
      <c r="I1" s="3" t="inlineStr">
        <is>
          <t>Commissione pagamento fissa (€)</t>
        </is>
      </c>
      <c r="J1" s="3" t="inlineStr">
        <is>
          <t>Tasso resi/perdite %</t>
        </is>
      </c>
      <c r="K1" s="3" t="inlineStr">
        <is>
          <t>Quota del mix ordini %</t>
        </is>
      </c>
      <c r="L1" s="3" t="inlineStr">
        <is>
          <t>Fonte / nota</t>
        </is>
      </c>
    </row>
    <row r="2">
      <c r="A2" s="4" t="inlineStr">
        <is>
          <t>Polveri e secco (4 vasetti 12-15 g o 2 + sacchetti)</t>
        </is>
      </c>
      <c r="B2" s="5" t="n">
        <v>28</v>
      </c>
      <c r="C2" s="5" t="n">
        <v>0.1</v>
      </c>
      <c r="D2" s="5" t="n">
        <v>4</v>
      </c>
      <c r="E2" s="5" t="n">
        <v>0.8</v>
      </c>
      <c r="F2" s="5" t="n">
        <v>5.9</v>
      </c>
      <c r="G2" s="5" t="n">
        <v>7</v>
      </c>
      <c r="H2" s="5" t="n">
        <v>0.02</v>
      </c>
      <c r="I2" s="5" t="n">
        <v>0.25</v>
      </c>
      <c r="J2" s="5" t="n">
        <v>0.01</v>
      </c>
      <c r="K2" s="5" t="n">
        <v>0.3</v>
      </c>
      <c r="L2" s="4" t="inlineStr">
        <is>
          <t>Prezzi: Peperita 12 g 4,95-11,50 €, calabresi 50-100 g 3,50-6 € (ricerca 02/04). Costo STIMA ~1 €/vasetto, in linea col dato di Luciano sulle creme (04/10). Spedizione: secco 1 kg Italia 6-11 € a listino, 7 € con tariffa negoziata (03).</t>
        </is>
      </c>
    </row>
    <row r="3">
      <c r="A3" s="4" t="inlineStr">
        <is>
          <t>Creme e salse (3 vasetti a 7,50 €)</t>
        </is>
      </c>
      <c r="B3" s="5" t="n">
        <v>22.5</v>
      </c>
      <c r="C3" s="5" t="n">
        <v>0.1</v>
      </c>
      <c r="D3" s="5" t="n">
        <v>3</v>
      </c>
      <c r="E3" s="5" t="n">
        <v>1.2</v>
      </c>
      <c r="F3" s="5" t="n">
        <v>5.9</v>
      </c>
      <c r="G3" s="5" t="n">
        <v>7.5</v>
      </c>
      <c r="H3" s="5" t="n">
        <v>0.02</v>
      </c>
      <c r="I3" s="5" t="n">
        <v>0.25</v>
      </c>
      <c r="J3" s="5" t="n">
        <v>0.02</v>
      </c>
      <c r="K3" s="5" t="n">
        <v>0.35</v>
      </c>
      <c r="L3" s="4" t="inlineStr">
        <is>
          <t>DATO KALAB: prezzo 7,50 €/crema (kalab.it); costo ~1 €/vasetto (Luciano, riferito da Davide il 04/10/2026).</t>
        </is>
      </c>
    </row>
    <row r="4">
      <c r="A4" s="4" t="inlineStr">
        <is>
          <t>Sott'olio e conserve (2 vasetti + 1 crema)</t>
        </is>
      </c>
      <c r="B4" s="5" t="n">
        <v>24</v>
      </c>
      <c r="C4" s="5" t="n">
        <v>0.1</v>
      </c>
      <c r="D4" s="5" t="n">
        <v>4</v>
      </c>
      <c r="E4" s="5" t="n">
        <v>1.5</v>
      </c>
      <c r="F4" s="5" t="n">
        <v>5.9</v>
      </c>
      <c r="G4" s="5" t="n">
        <v>8</v>
      </c>
      <c r="H4" s="5" t="n">
        <v>0.02</v>
      </c>
      <c r="I4" s="5" t="n">
        <v>0.25</v>
      </c>
      <c r="J4" s="5" t="n">
        <v>0.02</v>
      </c>
      <c r="K4" s="5" t="n">
        <v>0.1</v>
      </c>
      <c r="L4" s="4" t="inlineStr">
        <is>
          <t>Prezzi 4,49-9 € a vasetto (02). Costo STIMA 1,5 €/vasetto (più olio delle creme; da chiedere a Luciano). Vetro pesante (1,5-2 kg): spedizione 8 € (03).</t>
        </is>
      </c>
    </row>
    <row r="5">
      <c r="A5" s="4" t="inlineStr">
        <is>
          <t>Semi (4 bustine)</t>
        </is>
      </c>
      <c r="B5" s="5" t="n">
        <v>14</v>
      </c>
      <c r="C5" s="5" t="n">
        <v>0.1</v>
      </c>
      <c r="D5" s="5" t="n">
        <v>1.6</v>
      </c>
      <c r="E5" s="5" t="n">
        <v>0.3</v>
      </c>
      <c r="F5" s="5" t="n">
        <v>2.9</v>
      </c>
      <c r="G5" s="5" t="n">
        <v>3</v>
      </c>
      <c r="H5" s="5" t="n">
        <v>0.02</v>
      </c>
      <c r="I5" s="5" t="n">
        <v>0.25</v>
      </c>
      <c r="J5" s="5" t="n">
        <v>0.01</v>
      </c>
      <c r="K5" s="5" t="n">
        <v>0</v>
      </c>
      <c r="L5" s="4" t="inlineStr">
        <is>
          <t>Prezzi 1-5 €/bustina (02); costo STIMA 0,35 € (04). Plico postale. ATTENZIONE: vincolo legge sementiera (04 §4).</t>
        </is>
      </c>
    </row>
    <row r="6">
      <c r="A6" s="4" t="inlineStr">
        <is>
          <t>Piantine (5 vasi, solo marzo-giugno)</t>
        </is>
      </c>
      <c r="B6" s="5" t="n">
        <v>25</v>
      </c>
      <c r="C6" s="5" t="n">
        <v>0.1</v>
      </c>
      <c r="D6" s="5" t="n">
        <v>10</v>
      </c>
      <c r="E6" s="5" t="n">
        <v>2.5</v>
      </c>
      <c r="F6" s="5" t="n">
        <v>8.9</v>
      </c>
      <c r="G6" s="5" t="n">
        <v>9.5</v>
      </c>
      <c r="H6" s="5" t="n">
        <v>0.02</v>
      </c>
      <c r="I6" s="5" t="n">
        <v>0.25</v>
      </c>
      <c r="J6" s="5" t="n">
        <v>0.08</v>
      </c>
      <c r="K6" s="5" t="n">
        <v>0</v>
      </c>
      <c r="L6" s="4" t="inlineStr">
        <is>
          <t>Prezzi 2,70-5 €/vaso (02); costo STIMA 1,5-2 € (04). Serve RUOP + passaporto piante. Resi alti: viva.</t>
        </is>
      </c>
    </row>
    <row r="7">
      <c r="A7" s="4" t="inlineStr">
        <is>
          <t>Kit degustazione / box regalo</t>
        </is>
      </c>
      <c r="B7" s="5" t="n">
        <v>38</v>
      </c>
      <c r="C7" s="5" t="n">
        <v>0.1</v>
      </c>
      <c r="D7" s="5" t="n">
        <v>6</v>
      </c>
      <c r="E7" s="5" t="n">
        <v>2</v>
      </c>
      <c r="F7" s="5" t="n">
        <v>5.9</v>
      </c>
      <c r="G7" s="5" t="n">
        <v>7</v>
      </c>
      <c r="H7" s="5" t="n">
        <v>0.02</v>
      </c>
      <c r="I7" s="5" t="n">
        <v>0.25</v>
      </c>
      <c r="J7" s="5" t="n">
        <v>0.02</v>
      </c>
      <c r="K7" s="5" t="n">
        <v>0.25</v>
      </c>
      <c r="L7" s="4" t="inlineStr">
        <is>
          <t>Prezzi 25-45 € (02/04); costo STIMA 5 vasetti a ~1 € + astuccio. Picco nov-dic.</t>
        </is>
      </c>
    </row>
    <row r="8">
      <c r="A8" s="4" t="inlineStr">
        <is>
          <t>Fresco 1 kg isotermico, solo Italia 24 h</t>
        </is>
      </c>
      <c r="B8" s="5" t="n">
        <v>20</v>
      </c>
      <c r="C8" s="5" t="n">
        <v>0.04</v>
      </c>
      <c r="D8" s="5" t="n">
        <v>4.5</v>
      </c>
      <c r="E8" s="5" t="n">
        <v>4</v>
      </c>
      <c r="F8" s="5" t="n">
        <v>9.9</v>
      </c>
      <c r="G8" s="5" t="n">
        <v>15</v>
      </c>
      <c r="H8" s="5" t="n">
        <v>0.02</v>
      </c>
      <c r="I8" s="5" t="n">
        <v>0.25</v>
      </c>
      <c r="J8" s="5" t="n">
        <v>0.1</v>
      </c>
      <c r="K8" s="5" t="n">
        <v>0</v>
      </c>
      <c r="L8" s="4" t="inlineStr">
        <is>
          <t>Prezzi 12-24 €/kg varietà nominate (02). Costo STIMA; imballo isotermico+gel STIMA 3-5 €; espresso 24 h 12-18 € negoziato (03 §costo a pacco: 17-25 € tutto compreso). Resi 10% = esperienza Natale scorso.</t>
        </is>
      </c>
    </row>
    <row r="10">
      <c r="A10" s="6" t="inlineStr">
        <is>
          <t>Controllo: il mix deve fare 100%</t>
        </is>
      </c>
      <c r="K10" s="7">
        <f>SUM(K2:K8)</f>
        <v/>
      </c>
    </row>
    <row r="12">
      <c r="A12" s="6" t="inlineStr">
        <is>
          <t>Quota B2Brand sull'incasso (ipotesi base)</t>
        </is>
      </c>
      <c r="B12" s="8" t="n">
        <v>0.5</v>
      </c>
      <c r="C12" t="inlineStr">
        <is>
          <t>Il 50% proposto da Kalab. Cambiare qui per vedere l'effetto ovunque.</t>
        </is>
      </c>
    </row>
    <row r="13">
      <c r="A13" s="6" t="inlineStr">
        <is>
          <t>Base di calcolo della quota</t>
        </is>
      </c>
      <c r="B13" s="8" t="inlineStr">
        <is>
          <t>netto</t>
        </is>
      </c>
      <c r="C13" t="inlineStr">
        <is>
          <t>"lordo" = sull'incasso IVA inclusa; "netto" = incasso senza IVA, senza spedizione incassata, senza commissioni di pagamento</t>
        </is>
      </c>
    </row>
    <row r="14">
      <c r="A14" s="6" t="inlineStr">
        <is>
          <t>Obiettivo B2Brand: euro di cassa al mese</t>
        </is>
      </c>
      <c r="B14" s="8" t="n">
        <v>1000</v>
      </c>
      <c r="C14" t="inlineStr">
        <is>
          <t>Quota incassata meno spese vive e pubblicità, prima delle tasse. Le ore di B2Brand sono a parte (foglio Scenari, colonne «costo pieno»).</t>
        </is>
      </c>
    </row>
    <row r="15">
      <c r="A15" s="6" t="inlineStr">
        <is>
          <t>Modello di accordo</t>
        </is>
      </c>
      <c r="B15" s="8" t="inlineStr">
        <is>
          <t>margine</t>
        </is>
      </c>
      <c r="C15" t="inlineStr">
        <is>
          <t>"margine" = metà a testa di quello che resta dopo prodotto, imballo, spedizione, commissioni, pubblicità e piattaforma (B2Brand anticipa e si riprende per prima i costi); "percentuale" = B2Brand prende la quota qui sopra e paga lei pubblicità e piattaforma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48" customHeight="1">
      <c r="A1" s="3" t="inlineStr">
        <is>
          <t>Categoria</t>
        </is>
      </c>
      <c r="B1" s="3" t="inlineStr">
        <is>
          <t>Prezzo pubblico</t>
        </is>
      </c>
      <c r="C1" s="3" t="inlineStr">
        <is>
          <t>IVA</t>
        </is>
      </c>
      <c r="D1" s="3" t="inlineStr">
        <is>
          <t>Netto IVA</t>
        </is>
      </c>
      <c r="E1" s="3" t="inlineStr">
        <is>
          <t>Spedizione incassata</t>
        </is>
      </c>
      <c r="F1" s="3" t="inlineStr">
        <is>
          <t>Commissioni pagamento</t>
        </is>
      </c>
      <c r="G1" s="3" t="inlineStr">
        <is>
          <t>Incasso netto (base 'netto')</t>
        </is>
      </c>
      <c r="H1" s="3" t="inlineStr">
        <is>
          <t>Base di calcolo quota</t>
        </is>
      </c>
      <c r="I1" s="3" t="inlineStr">
        <is>
          <t>Quota B2Brand (€)</t>
        </is>
      </c>
      <c r="J1" s="3" t="inlineStr">
        <is>
          <t>Resta a Kalab (lordo)</t>
        </is>
      </c>
      <c r="K1" s="3" t="inlineStr">
        <is>
          <t>Costo prodotto</t>
        </is>
      </c>
      <c r="L1" s="3" t="inlineStr">
        <is>
          <t>Imballo</t>
        </is>
      </c>
      <c r="M1" s="3" t="inlineStr">
        <is>
          <t>Spedizione vera</t>
        </is>
      </c>
      <c r="N1" s="3" t="inlineStr">
        <is>
          <t>Perdite per resi</t>
        </is>
      </c>
      <c r="O1" s="3" t="inlineStr">
        <is>
          <t>Margine Kalab (€)</t>
        </is>
      </c>
      <c r="P1" s="3" t="inlineStr">
        <is>
          <t>Margine Kalab % sul prezzo</t>
        </is>
      </c>
      <c r="Q1" s="3" t="inlineStr">
        <is>
          <t>Margine Kalab % sul suo incasso</t>
        </is>
      </c>
    </row>
    <row r="2">
      <c r="A2" s="4">
        <f>Ipotesi!A2</f>
        <v/>
      </c>
      <c r="B2" s="9">
        <f>Ipotesi!B2</f>
        <v/>
      </c>
      <c r="C2" s="9">
        <f>B2-B2/(1+Ipotesi!C2)</f>
        <v/>
      </c>
      <c r="D2" s="9">
        <f>B2-C2</f>
        <v/>
      </c>
      <c r="E2" s="9">
        <f>Ipotesi!F2</f>
        <v/>
      </c>
      <c r="F2" s="9">
        <f>(B2+E2)*Ipotesi!H2+Ipotesi!I2</f>
        <v/>
      </c>
      <c r="G2" s="9">
        <f>D2-F2</f>
        <v/>
      </c>
      <c r="H2" s="9">
        <f>IF(Ipotesi!$B$13="lordo",B2+E2,G2)</f>
        <v/>
      </c>
      <c r="I2" s="10">
        <f>H2*Ipotesi!$B$12</f>
        <v/>
      </c>
      <c r="J2" s="9">
        <f>D2+E2-F2-I2</f>
        <v/>
      </c>
      <c r="K2" s="9">
        <f>Ipotesi!D2</f>
        <v/>
      </c>
      <c r="L2" s="9">
        <f>Ipotesi!E2</f>
        <v/>
      </c>
      <c r="M2" s="9">
        <f>Ipotesi!G2</f>
        <v/>
      </c>
      <c r="N2" s="9">
        <f>(B2+Ipotesi!G2)*Ipotesi!J2</f>
        <v/>
      </c>
      <c r="O2" s="10">
        <f>J2-K2-L2-M2-N2</f>
        <v/>
      </c>
      <c r="P2" s="11">
        <f>O2/B2</f>
        <v/>
      </c>
      <c r="Q2" s="11">
        <f>IF(J2=0,0,O2/J2)</f>
        <v/>
      </c>
    </row>
    <row r="3">
      <c r="A3" s="4">
        <f>Ipotesi!A3</f>
        <v/>
      </c>
      <c r="B3" s="9">
        <f>Ipotesi!B3</f>
        <v/>
      </c>
      <c r="C3" s="9">
        <f>B3-B3/(1+Ipotesi!C3)</f>
        <v/>
      </c>
      <c r="D3" s="9">
        <f>B3-C3</f>
        <v/>
      </c>
      <c r="E3" s="9">
        <f>Ipotesi!F3</f>
        <v/>
      </c>
      <c r="F3" s="9">
        <f>(B3+E3)*Ipotesi!H3+Ipotesi!I3</f>
        <v/>
      </c>
      <c r="G3" s="9">
        <f>D3-F3</f>
        <v/>
      </c>
      <c r="H3" s="9">
        <f>IF(Ipotesi!$B$13="lordo",B3+E3,G3)</f>
        <v/>
      </c>
      <c r="I3" s="10">
        <f>H3*Ipotesi!$B$12</f>
        <v/>
      </c>
      <c r="J3" s="9">
        <f>D3+E3-F3-I3</f>
        <v/>
      </c>
      <c r="K3" s="9">
        <f>Ipotesi!D3</f>
        <v/>
      </c>
      <c r="L3" s="9">
        <f>Ipotesi!E3</f>
        <v/>
      </c>
      <c r="M3" s="9">
        <f>Ipotesi!G3</f>
        <v/>
      </c>
      <c r="N3" s="9">
        <f>(B3+Ipotesi!G3)*Ipotesi!J3</f>
        <v/>
      </c>
      <c r="O3" s="10">
        <f>J3-K3-L3-M3-N3</f>
        <v/>
      </c>
      <c r="P3" s="11">
        <f>O3/B3</f>
        <v/>
      </c>
      <c r="Q3" s="11">
        <f>IF(J3=0,0,O3/J3)</f>
        <v/>
      </c>
    </row>
    <row r="4">
      <c r="A4" s="4">
        <f>Ipotesi!A4</f>
        <v/>
      </c>
      <c r="B4" s="9">
        <f>Ipotesi!B4</f>
        <v/>
      </c>
      <c r="C4" s="9">
        <f>B4-B4/(1+Ipotesi!C4)</f>
        <v/>
      </c>
      <c r="D4" s="9">
        <f>B4-C4</f>
        <v/>
      </c>
      <c r="E4" s="9">
        <f>Ipotesi!F4</f>
        <v/>
      </c>
      <c r="F4" s="9">
        <f>(B4+E4)*Ipotesi!H4+Ipotesi!I4</f>
        <v/>
      </c>
      <c r="G4" s="9">
        <f>D4-F4</f>
        <v/>
      </c>
      <c r="H4" s="9">
        <f>IF(Ipotesi!$B$13="lordo",B4+E4,G4)</f>
        <v/>
      </c>
      <c r="I4" s="10">
        <f>H4*Ipotesi!$B$12</f>
        <v/>
      </c>
      <c r="J4" s="9">
        <f>D4+E4-F4-I4</f>
        <v/>
      </c>
      <c r="K4" s="9">
        <f>Ipotesi!D4</f>
        <v/>
      </c>
      <c r="L4" s="9">
        <f>Ipotesi!E4</f>
        <v/>
      </c>
      <c r="M4" s="9">
        <f>Ipotesi!G4</f>
        <v/>
      </c>
      <c r="N4" s="9">
        <f>(B4+Ipotesi!G4)*Ipotesi!J4</f>
        <v/>
      </c>
      <c r="O4" s="10">
        <f>J4-K4-L4-M4-N4</f>
        <v/>
      </c>
      <c r="P4" s="11">
        <f>O4/B4</f>
        <v/>
      </c>
      <c r="Q4" s="11">
        <f>IF(J4=0,0,O4/J4)</f>
        <v/>
      </c>
    </row>
    <row r="5">
      <c r="A5" s="4">
        <f>Ipotesi!A5</f>
        <v/>
      </c>
      <c r="B5" s="9">
        <f>Ipotesi!B5</f>
        <v/>
      </c>
      <c r="C5" s="9">
        <f>B5-B5/(1+Ipotesi!C5)</f>
        <v/>
      </c>
      <c r="D5" s="9">
        <f>B5-C5</f>
        <v/>
      </c>
      <c r="E5" s="9">
        <f>Ipotesi!F5</f>
        <v/>
      </c>
      <c r="F5" s="9">
        <f>(B5+E5)*Ipotesi!H5+Ipotesi!I5</f>
        <v/>
      </c>
      <c r="G5" s="9">
        <f>D5-F5</f>
        <v/>
      </c>
      <c r="H5" s="9">
        <f>IF(Ipotesi!$B$13="lordo",B5+E5,G5)</f>
        <v/>
      </c>
      <c r="I5" s="10">
        <f>H5*Ipotesi!$B$12</f>
        <v/>
      </c>
      <c r="J5" s="9">
        <f>D5+E5-F5-I5</f>
        <v/>
      </c>
      <c r="K5" s="9">
        <f>Ipotesi!D5</f>
        <v/>
      </c>
      <c r="L5" s="9">
        <f>Ipotesi!E5</f>
        <v/>
      </c>
      <c r="M5" s="9">
        <f>Ipotesi!G5</f>
        <v/>
      </c>
      <c r="N5" s="9">
        <f>(B5+Ipotesi!G5)*Ipotesi!J5</f>
        <v/>
      </c>
      <c r="O5" s="10">
        <f>J5-K5-L5-M5-N5</f>
        <v/>
      </c>
      <c r="P5" s="11">
        <f>O5/B5</f>
        <v/>
      </c>
      <c r="Q5" s="11">
        <f>IF(J5=0,0,O5/J5)</f>
        <v/>
      </c>
    </row>
    <row r="6">
      <c r="A6" s="4">
        <f>Ipotesi!A6</f>
        <v/>
      </c>
      <c r="B6" s="9">
        <f>Ipotesi!B6</f>
        <v/>
      </c>
      <c r="C6" s="9">
        <f>B6-B6/(1+Ipotesi!C6)</f>
        <v/>
      </c>
      <c r="D6" s="9">
        <f>B6-C6</f>
        <v/>
      </c>
      <c r="E6" s="9">
        <f>Ipotesi!F6</f>
        <v/>
      </c>
      <c r="F6" s="9">
        <f>(B6+E6)*Ipotesi!H6+Ipotesi!I6</f>
        <v/>
      </c>
      <c r="G6" s="9">
        <f>D6-F6</f>
        <v/>
      </c>
      <c r="H6" s="9">
        <f>IF(Ipotesi!$B$13="lordo",B6+E6,G6)</f>
        <v/>
      </c>
      <c r="I6" s="10">
        <f>H6*Ipotesi!$B$12</f>
        <v/>
      </c>
      <c r="J6" s="9">
        <f>D6+E6-F6-I6</f>
        <v/>
      </c>
      <c r="K6" s="9">
        <f>Ipotesi!D6</f>
        <v/>
      </c>
      <c r="L6" s="9">
        <f>Ipotesi!E6</f>
        <v/>
      </c>
      <c r="M6" s="9">
        <f>Ipotesi!G6</f>
        <v/>
      </c>
      <c r="N6" s="9">
        <f>(B6+Ipotesi!G6)*Ipotesi!J6</f>
        <v/>
      </c>
      <c r="O6" s="10">
        <f>J6-K6-L6-M6-N6</f>
        <v/>
      </c>
      <c r="P6" s="11">
        <f>O6/B6</f>
        <v/>
      </c>
      <c r="Q6" s="11">
        <f>IF(J6=0,0,O6/J6)</f>
        <v/>
      </c>
    </row>
    <row r="7">
      <c r="A7" s="4">
        <f>Ipotesi!A7</f>
        <v/>
      </c>
      <c r="B7" s="9">
        <f>Ipotesi!B7</f>
        <v/>
      </c>
      <c r="C7" s="9">
        <f>B7-B7/(1+Ipotesi!C7)</f>
        <v/>
      </c>
      <c r="D7" s="9">
        <f>B7-C7</f>
        <v/>
      </c>
      <c r="E7" s="9">
        <f>Ipotesi!F7</f>
        <v/>
      </c>
      <c r="F7" s="9">
        <f>(B7+E7)*Ipotesi!H7+Ipotesi!I7</f>
        <v/>
      </c>
      <c r="G7" s="9">
        <f>D7-F7</f>
        <v/>
      </c>
      <c r="H7" s="9">
        <f>IF(Ipotesi!$B$13="lordo",B7+E7,G7)</f>
        <v/>
      </c>
      <c r="I7" s="10">
        <f>H7*Ipotesi!$B$12</f>
        <v/>
      </c>
      <c r="J7" s="9">
        <f>D7+E7-F7-I7</f>
        <v/>
      </c>
      <c r="K7" s="9">
        <f>Ipotesi!D7</f>
        <v/>
      </c>
      <c r="L7" s="9">
        <f>Ipotesi!E7</f>
        <v/>
      </c>
      <c r="M7" s="9">
        <f>Ipotesi!G7</f>
        <v/>
      </c>
      <c r="N7" s="9">
        <f>(B7+Ipotesi!G7)*Ipotesi!J7</f>
        <v/>
      </c>
      <c r="O7" s="10">
        <f>J7-K7-L7-M7-N7</f>
        <v/>
      </c>
      <c r="P7" s="11">
        <f>O7/B7</f>
        <v/>
      </c>
      <c r="Q7" s="11">
        <f>IF(J7=0,0,O7/J7)</f>
        <v/>
      </c>
    </row>
    <row r="8">
      <c r="A8" s="4">
        <f>Ipotesi!A8</f>
        <v/>
      </c>
      <c r="B8" s="9">
        <f>Ipotesi!B8</f>
        <v/>
      </c>
      <c r="C8" s="9">
        <f>B8-B8/(1+Ipotesi!C8)</f>
        <v/>
      </c>
      <c r="D8" s="9">
        <f>B8-C8</f>
        <v/>
      </c>
      <c r="E8" s="9">
        <f>Ipotesi!F8</f>
        <v/>
      </c>
      <c r="F8" s="9">
        <f>(B8+E8)*Ipotesi!H8+Ipotesi!I8</f>
        <v/>
      </c>
      <c r="G8" s="9">
        <f>D8-F8</f>
        <v/>
      </c>
      <c r="H8" s="9">
        <f>IF(Ipotesi!$B$13="lordo",B8+E8,G8)</f>
        <v/>
      </c>
      <c r="I8" s="10">
        <f>H8*Ipotesi!$B$12</f>
        <v/>
      </c>
      <c r="J8" s="9">
        <f>D8+E8-F8-I8</f>
        <v/>
      </c>
      <c r="K8" s="9">
        <f>Ipotesi!D8</f>
        <v/>
      </c>
      <c r="L8" s="9">
        <f>Ipotesi!E8</f>
        <v/>
      </c>
      <c r="M8" s="9">
        <f>Ipotesi!G8</f>
        <v/>
      </c>
      <c r="N8" s="9">
        <f>(B8+Ipotesi!G8)*Ipotesi!J8</f>
        <v/>
      </c>
      <c r="O8" s="10">
        <f>J8-K8-L8-M8-N8</f>
        <v/>
      </c>
      <c r="P8" s="11">
        <f>O8/B8</f>
        <v/>
      </c>
      <c r="Q8" s="11">
        <f>IF(J8=0,0,O8/J8)</f>
        <v/>
      </c>
    </row>
    <row r="10">
      <c r="A10" s="6" t="inlineStr">
        <is>
          <t>Medie pesate sul mix ordini</t>
        </is>
      </c>
      <c r="B10" s="12">
        <f>SUMPRODUCT(B2:B8,Ipotesi!K2:K8)</f>
        <v/>
      </c>
      <c r="G10" s="12">
        <f>SUMPRODUCT(G2:G8,Ipotesi!K2:K8)</f>
        <v/>
      </c>
      <c r="H10" s="12">
        <f>SUMPRODUCT((B2:B8+E2:E8),Ipotesi!K2:K8)</f>
        <v/>
      </c>
      <c r="I10" s="12">
        <f>SUMPRODUCT(I2:I8,Ipotesi!K2:K8)</f>
        <v/>
      </c>
      <c r="L10" s="13">
        <f>SUMPRODUCT(L2:L8,Ipotesi!K2:K8)</f>
        <v/>
      </c>
      <c r="M10" s="13">
        <f>SUMPRODUCT(M2:M8,Ipotesi!K2:K8)</f>
        <v/>
      </c>
      <c r="O10" s="12">
        <f>SUMPRODUCT(O2:O8,Ipotesi!K2:K8)</f>
        <v/>
      </c>
      <c r="P10" s="14">
        <f>O10/B10</f>
        <v/>
      </c>
    </row>
    <row r="11">
      <c r="A11" t="inlineStr">
        <is>
          <t>Letture: colonna O = quanto resta a Kalab per ordine dopo prodotto, imballo, spedizione e quota B2Brand. Se è vicino a zero o negativo, con quella quota Kalab lavora gratis.</t>
        </is>
      </c>
    </row>
    <row r="12">
      <c r="A12" t="inlineStr">
        <is>
          <t>Medie pesate: G = incassato netto medio per ordine; H = incasso lordo medio (merce + spedizione); L = imballo medio; M = spedizione vera media.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70" customWidth="1" min="6" max="6"/>
    <col width="20" customWidth="1" min="7" max="7"/>
  </cols>
  <sheetData>
    <row r="1">
      <c r="A1" s="15" t="inlineStr">
        <is>
          <t>Voce</t>
        </is>
      </c>
      <c r="B1" s="15" t="inlineStr">
        <is>
          <t>Una tantum (€)</t>
        </is>
      </c>
      <c r="C1" s="15" t="inlineStr">
        <is>
          <t>Mensile anno 1 (€)</t>
        </is>
      </c>
      <c r="D1" s="15" t="inlineStr">
        <is>
          <t>Mensile anno 2 (€)</t>
        </is>
      </c>
      <c r="E1" s="15" t="inlineStr">
        <is>
          <t>Mensile anno 3 (€)</t>
        </is>
      </c>
      <c r="F1" s="15" t="inlineStr">
        <is>
          <t>Fonte / nota</t>
        </is>
      </c>
      <c r="G1" s="15" t="inlineStr">
        <is>
          <t>Tipo (cassa = soldi che escono; ore = tempo di B2Brand a 35 €/h)</t>
        </is>
      </c>
    </row>
    <row r="2">
      <c r="A2" s="4" t="inlineStr">
        <is>
          <t>Avvio: tema, dominio, app, campioni e prove di spedizione</t>
        </is>
      </c>
      <c r="B2" s="5" t="n">
        <v>500</v>
      </c>
      <c r="C2" s="5" t="n">
        <v>0</v>
      </c>
      <c r="D2" s="5" t="n">
        <v>0</v>
      </c>
      <c r="E2" s="5" t="n">
        <v>0</v>
      </c>
      <c r="F2" s="4" t="inlineStr">
        <is>
          <t>STIMA. Costruzione, testi e traduzioni: Claude Code (abbonamento già pagato da B2Brand).</t>
        </is>
      </c>
      <c r="G2" s="4" t="inlineStr">
        <is>
          <t>cassa</t>
        </is>
      </c>
    </row>
    <row r="3">
      <c r="A3" s="4" t="inlineStr">
        <is>
          <t>Foto prodotto</t>
        </is>
      </c>
      <c r="B3" s="5" t="n">
        <v>0</v>
      </c>
      <c r="C3" s="5" t="n">
        <v>0</v>
      </c>
      <c r="D3" s="5" t="n">
        <v>0</v>
      </c>
      <c r="E3" s="5" t="n">
        <v>0</v>
      </c>
      <c r="F3" s="4" t="inlineStr">
        <is>
          <t>Da decidere: foto in azienda quando Davide scende per i video. I video social NON sono nell'accordo (mai discussi).</t>
        </is>
      </c>
      <c r="G3" s="4" t="inlineStr">
        <is>
          <t>cassa</t>
        </is>
      </c>
    </row>
    <row r="4">
      <c r="A4" s="4" t="inlineStr">
        <is>
          <t>Piattaforma + app + dominio</t>
        </is>
      </c>
      <c r="B4" s="5" t="n">
        <v>0</v>
      </c>
      <c r="C4" s="5" t="n">
        <v>100</v>
      </c>
      <c r="D4" s="5" t="n">
        <v>120</v>
      </c>
      <c r="E4" s="5" t="n">
        <v>150</v>
      </c>
      <c r="F4" s="4" t="inlineStr">
        <is>
          <t>Shopify Basic 27 €/mese + app 50-150 € (07 B2, listino Shopify 02/10/2026).</t>
        </is>
      </c>
      <c r="G4" s="4" t="inlineStr">
        <is>
          <t>cassa</t>
        </is>
      </c>
    </row>
    <row r="5">
      <c r="A5" s="6" t="inlineStr">
        <is>
          <t>TOTALE</t>
        </is>
      </c>
      <c r="B5" s="16">
        <f>SUM(B2:B4)</f>
        <v/>
      </c>
      <c r="C5" s="16">
        <f>SUM(C2:C4)</f>
        <v/>
      </c>
      <c r="D5" s="16">
        <f>SUM(D2:D4)</f>
        <v/>
      </c>
      <c r="E5" s="16">
        <f>SUM(E2:E4)</f>
        <v/>
      </c>
    </row>
    <row r="6">
      <c r="A6" s="6" t="inlineStr">
        <is>
          <t>di cui SOLO CASSA</t>
        </is>
      </c>
      <c r="B6" s="7">
        <f>SUMIF($G$2:$G$4,"cassa",B2:B4)</f>
        <v/>
      </c>
      <c r="C6" s="7">
        <f>SUMIF($G$2:$G$4,"cassa",C2:C4)</f>
        <v/>
      </c>
      <c r="D6" s="7">
        <f>SUMIF($G$2:$G$4,"cassa",D2:D4)</f>
        <v/>
      </c>
      <c r="E6" s="7">
        <f>SUMIF($G$2:$G$4,"cassa",E2:E4)</f>
        <v/>
      </c>
    </row>
    <row r="7">
      <c r="A7" t="inlineStr">
        <is>
          <t>Nel foglio Scenari le spese vive (cassa) e le ore sono in colonne separate: «netto di cassa» = soldi in tasca; «costo pieno» = anche le ore pagate a 35 €/h.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0" customWidth="1" min="3" max="3"/>
    <col width="22" customWidth="1" min="4" max="4"/>
    <col width="16" customWidth="1" min="5" max="5"/>
  </cols>
  <sheetData>
    <row r="1">
      <c r="A1" s="6" t="inlineStr">
        <is>
          <t>Mese</t>
        </is>
      </c>
      <c r="B1" s="6" t="inlineStr">
        <is>
          <t>Peso del mese (media = 1,00)</t>
        </is>
      </c>
      <c r="C1" s="6" t="inlineStr">
        <is>
          <t>Nota</t>
        </is>
      </c>
      <c r="D1" s="6" t="inlineStr">
        <is>
          <t>Mese del piano nell'anno (1 = mese di avvio)</t>
        </is>
      </c>
      <c r="E1" s="6" t="inlineStr">
        <is>
          <t>Mese del piano × peso</t>
        </is>
      </c>
    </row>
    <row r="2">
      <c r="A2" t="inlineStr">
        <is>
          <t>gen</t>
        </is>
      </c>
      <c r="B2" s="8" t="n">
        <v>0.85</v>
      </c>
      <c r="C2" t="inlineStr">
        <is>
          <t>dopo Natale; semi iniziano</t>
        </is>
      </c>
      <c r="D2" t="n">
        <v>11</v>
      </c>
      <c r="E2">
        <f>D2*B2</f>
        <v/>
      </c>
    </row>
    <row r="3">
      <c r="A3" t="inlineStr">
        <is>
          <t>feb</t>
        </is>
      </c>
      <c r="B3" s="8" t="n">
        <v>0.95</v>
      </c>
      <c r="C3" t="inlineStr">
        <is>
          <t>semi (Trends IT picco feb-mar)</t>
        </is>
      </c>
      <c r="D3" t="n">
        <v>12</v>
      </c>
      <c r="E3">
        <f>D3*B3</f>
        <v/>
      </c>
    </row>
    <row r="4">
      <c r="A4" t="inlineStr">
        <is>
          <t>mar</t>
        </is>
      </c>
      <c r="B4" s="8" t="n">
        <v>1</v>
      </c>
      <c r="C4" t="inlineStr">
        <is>
          <t>semi + piantine</t>
        </is>
      </c>
      <c r="D4" t="n">
        <v>1</v>
      </c>
      <c r="E4">
        <f>D4*B4</f>
        <v/>
      </c>
    </row>
    <row r="5">
      <c r="A5" t="inlineStr">
        <is>
          <t>apr</t>
        </is>
      </c>
      <c r="B5" s="8" t="n">
        <v>0.95</v>
      </c>
      <c r="C5" t="inlineStr">
        <is>
          <t>piantine (Trends: apr-mag)</t>
        </is>
      </c>
      <c r="D5" t="n">
        <v>2</v>
      </c>
      <c r="E5">
        <f>D5*B5</f>
        <v/>
      </c>
    </row>
    <row r="6">
      <c r="A6" t="inlineStr">
        <is>
          <t>mag</t>
        </is>
      </c>
      <c r="B6" s="8" t="n">
        <v>0.85</v>
      </c>
      <c r="C6" t="inlineStr">
        <is>
          <t>piantine</t>
        </is>
      </c>
      <c r="D6" t="n">
        <v>3</v>
      </c>
      <c r="E6">
        <f>D6*B6</f>
        <v/>
      </c>
    </row>
    <row r="7">
      <c r="A7" t="inlineStr">
        <is>
          <t>giu</t>
        </is>
      </c>
      <c r="B7" s="8" t="n">
        <v>0.65</v>
      </c>
      <c r="C7" t="inlineStr">
        <is>
          <t>estate: minimo (Trends giu-lug)</t>
        </is>
      </c>
      <c r="D7" t="n">
        <v>4</v>
      </c>
      <c r="E7">
        <f>D7*B7</f>
        <v/>
      </c>
    </row>
    <row r="8">
      <c r="A8" t="inlineStr">
        <is>
          <t>lug</t>
        </is>
      </c>
      <c r="B8" s="8" t="n">
        <v>0.65</v>
      </c>
      <c r="C8" t="inlineStr">
        <is>
          <t>minimo</t>
        </is>
      </c>
      <c r="D8" t="n">
        <v>5</v>
      </c>
      <c r="E8">
        <f>D8*B8</f>
        <v/>
      </c>
    </row>
    <row r="9">
      <c r="A9" t="inlineStr">
        <is>
          <t>ago</t>
        </is>
      </c>
      <c r="B9" s="8" t="n">
        <v>0.75</v>
      </c>
      <c r="C9" t="inlineStr">
        <is>
          <t>raccolta: ricerche al massimo ma si compra in azienda/sagre</t>
        </is>
      </c>
      <c r="D9" t="n">
        <v>6</v>
      </c>
      <c r="E9">
        <f>D9*B9</f>
        <v/>
      </c>
    </row>
    <row r="10">
      <c r="A10" t="inlineStr">
        <is>
          <t>set</t>
        </is>
      </c>
      <c r="B10" s="8" t="n">
        <v>1</v>
      </c>
      <c r="C10" t="inlineStr">
        <is>
          <t>Festival Diamante 9-13/9; raccolta</t>
        </is>
      </c>
      <c r="D10" t="n">
        <v>7</v>
      </c>
      <c r="E10">
        <f>D10*B10</f>
        <v/>
      </c>
    </row>
    <row r="11">
      <c r="A11" t="inlineStr">
        <is>
          <t>ott</t>
        </is>
      </c>
      <c r="B11" s="8" t="n">
        <v>1</v>
      </c>
      <c r="C11" t="inlineStr">
        <is>
          <t>secco nuovo; inizio regali</t>
        </is>
      </c>
      <c r="D11" t="n">
        <v>8</v>
      </c>
      <c r="E11">
        <f>D11*B11</f>
        <v/>
      </c>
    </row>
    <row r="12">
      <c r="A12" t="inlineStr">
        <is>
          <t>nov</t>
        </is>
      </c>
      <c r="B12" s="8" t="n">
        <v>1.35</v>
      </c>
      <c r="C12" t="inlineStr">
        <is>
          <t>Black Friday; picco 'sauce piquante' FR</t>
        </is>
      </c>
      <c r="D12" t="n">
        <v>9</v>
      </c>
      <c r="E12">
        <f>D12*B12</f>
        <v/>
      </c>
    </row>
    <row r="13">
      <c r="A13" t="inlineStr">
        <is>
          <t>dic</t>
        </is>
      </c>
      <c r="B13" s="8" t="n">
        <v>2</v>
      </c>
      <c r="C13" t="inlineStr">
        <is>
          <t>Natale: picco acquisti online 5 e 16-17 dic (idealo)</t>
        </is>
      </c>
      <c r="D13" t="n">
        <v>10</v>
      </c>
      <c r="E13">
        <f>D13*B13</f>
        <v/>
      </c>
    </row>
    <row r="14">
      <c r="A14" s="6" t="inlineStr">
        <is>
          <t>Somma (deve fare 12)</t>
        </is>
      </c>
      <c r="B14" s="7">
        <f>SUM(B2:B13)</f>
        <v/>
      </c>
      <c r="D14" s="6" t="inlineStr">
        <is>
          <t>Fattore di crescita (somma ÷ 12)</t>
        </is>
      </c>
      <c r="E14" s="7">
        <f>SUM(E2:E13)/12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6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8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8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</cols>
  <sheetData>
    <row r="1">
      <c r="A1" s="17" t="inlineStr">
        <is>
          <t>Ipotesi per scenario (celle azzurre)</t>
        </is>
      </c>
    </row>
    <row r="2">
      <c r="A2" s="15" t="inlineStr">
        <is>
          <t>Parametro</t>
        </is>
      </c>
      <c r="B2" s="15" t="inlineStr">
        <is>
          <t>Prudente</t>
        </is>
      </c>
      <c r="C2" s="15" t="inlineStr">
        <is>
          <t>Medio</t>
        </is>
      </c>
      <c r="D2" s="15" t="inlineStr">
        <is>
          <t>Ambizioso</t>
        </is>
      </c>
      <c r="E2" s="15" t="inlineStr">
        <is>
          <t>Nota</t>
        </is>
      </c>
    </row>
    <row r="3">
      <c r="A3" s="4" t="inlineStr">
        <is>
          <t>Ordini al mese a regime, anno 1 (dopo la rampa)</t>
        </is>
      </c>
      <c r="B3" s="5" t="n">
        <v>20</v>
      </c>
      <c r="C3" s="5" t="n">
        <v>50</v>
      </c>
      <c r="D3" s="5" t="n">
        <v>100</v>
      </c>
      <c r="E3" t="inlineStr">
        <is>
          <t>STIMA. Oggi kalab.it ha 13 prodotti e ~10 pagine indicizzate: si parte da zero. 500 €/mese di pubblicità danno 10-17 ordini (05 §5.2); il resto da SEO, newsletter, eventi.</t>
        </is>
      </c>
    </row>
    <row r="4">
      <c r="A4" s="4" t="inlineStr">
        <is>
          <t>Ordini al mese, media anno 2</t>
        </is>
      </c>
      <c r="B4" s="5" t="n">
        <v>40</v>
      </c>
      <c r="C4" s="5" t="n">
        <v>120</v>
      </c>
      <c r="D4" s="5" t="n">
        <v>250</v>
      </c>
      <c r="E4" t="inlineStr">
        <is>
          <t>STIMA. Anno 2: schede varietà indicizzate, recensioni, secondo Natale, Germania aperta.</t>
        </is>
      </c>
    </row>
    <row r="5">
      <c r="A5" s="4" t="inlineStr">
        <is>
          <t>Ordini al mese, media anno 3</t>
        </is>
      </c>
      <c r="B5" s="5" t="n">
        <v>60</v>
      </c>
      <c r="C5" s="5" t="n">
        <v>200</v>
      </c>
      <c r="D5" s="5" t="n">
        <v>450</v>
      </c>
      <c r="E5" t="inlineStr">
        <is>
          <t>STIMA. Anno 3: catalogo completo, 3-4 lingue, B2B (Ankorstore/Faire) fuori da questo conto.</t>
        </is>
      </c>
    </row>
    <row r="6">
      <c r="A6" s="4" t="inlineStr">
        <is>
          <t>Mesi di rampa prima del regime (anno 1)</t>
        </is>
      </c>
      <c r="B6" s="5" t="n">
        <v>6</v>
      </c>
      <c r="C6" s="5" t="n">
        <v>6</v>
      </c>
      <c r="D6" s="5" t="n">
        <v>6</v>
      </c>
      <c r="E6" t="inlineStr">
        <is>
          <t>Mesi per arrivare a regime nel primo anno (crescita lineare).</t>
        </is>
      </c>
    </row>
    <row r="7">
      <c r="A7" s="4" t="inlineStr">
        <is>
          <t>Budget pubblicità mensile anno 1 (€, pagato da B2Brand)</t>
        </is>
      </c>
      <c r="B7" s="5" t="n">
        <v>300</v>
      </c>
      <c r="C7" s="5" t="n">
        <v>400</v>
      </c>
      <c r="D7" s="5" t="n">
        <v>500</v>
      </c>
      <c r="E7" t="inlineStr">
        <is>
          <t>Pagata da B2Brand. Sotto 300 €/mese Google Shopping non impara (05 §5).</t>
        </is>
      </c>
    </row>
    <row r="8">
      <c r="A8" s="4" t="inlineStr">
        <is>
          <t>Budget pubblicità mensile anno 2 (€)</t>
        </is>
      </c>
      <c r="B8" s="5" t="n">
        <v>300</v>
      </c>
      <c r="C8" s="5" t="n">
        <v>600</v>
      </c>
      <c r="D8" s="5" t="n">
        <v>1000</v>
      </c>
      <c r="E8" t="inlineStr"/>
    </row>
    <row r="9">
      <c r="A9" s="4" t="inlineStr">
        <is>
          <t>Budget pubblicità mensile anno 3 (€)</t>
        </is>
      </c>
      <c r="B9" s="5" t="n">
        <v>300</v>
      </c>
      <c r="C9" s="5" t="n">
        <v>800</v>
      </c>
      <c r="D9" s="5" t="n">
        <v>1500</v>
      </c>
      <c r="E9" t="inlineStr"/>
    </row>
    <row r="10">
      <c r="A10" s="6" t="inlineStr">
        <is>
          <t>Ordini al mese necessari per l'obiettivo, anno 1</t>
        </is>
      </c>
      <c r="B10" s="18">
        <f>ROUND(IF(Ipotesi!$B$15="margine",(2*Ipotesi!$B$14+'Costi B2Brand'!$C$6+B$7)/('Conti per prodotto'!$O$10+'Conti per prodotto'!$I$10),(Ipotesi!$B$14+'Costi B2Brand'!$C$6+B$7)/'Conti per prodotto'!$I$10),0)</f>
        <v/>
      </c>
      <c r="C10" s="18">
        <f>ROUND(IF(Ipotesi!$B$15="margine",(2*Ipotesi!$B$14+'Costi B2Brand'!$C$6+C$7)/('Conti per prodotto'!$O$10+'Conti per prodotto'!$I$10),(Ipotesi!$B$14+'Costi B2Brand'!$C$6+C$7)/'Conti per prodotto'!$I$10),0)</f>
        <v/>
      </c>
      <c r="D10" s="18">
        <f>ROUND(IF(Ipotesi!$B$15="margine",(2*Ipotesi!$B$14+'Costi B2Brand'!$C$6+D$7)/('Conti per prodotto'!$O$10+'Conti per prodotto'!$I$10),(Ipotesi!$B$14+'Costi B2Brand'!$C$6+D$7)/'Conti per prodotto'!$I$10),0)</f>
        <v/>
      </c>
      <c r="E10" t="inlineStr">
        <is>
          <t>Con «margine» l'obiettivo vale per entrambi: B2Brand e Kalab prendono la stessa cifra.</t>
        </is>
      </c>
    </row>
    <row r="11">
      <c r="A11" s="6" t="inlineStr">
        <is>
          <t>Ordini al mese necessari per l'obiettivo, anno 2</t>
        </is>
      </c>
      <c r="B11" s="18">
        <f>ROUND(IF(Ipotesi!$B$15="margine",(2*Ipotesi!$B$14+'Costi B2Brand'!$D$6+B$8)/('Conti per prodotto'!$O$10+'Conti per prodotto'!$I$10),(Ipotesi!$B$14+'Costi B2Brand'!$D$6+B$8)/'Conti per prodotto'!$I$10),0)</f>
        <v/>
      </c>
      <c r="C11" s="18">
        <f>ROUND(IF(Ipotesi!$B$15="margine",(2*Ipotesi!$B$14+'Costi B2Brand'!$D$6+C$8)/('Conti per prodotto'!$O$10+'Conti per prodotto'!$I$10),(Ipotesi!$B$14+'Costi B2Brand'!$D$6+C$8)/'Conti per prodotto'!$I$10),0)</f>
        <v/>
      </c>
      <c r="D11" s="18">
        <f>ROUND(IF(Ipotesi!$B$15="margine",(2*Ipotesi!$B$14+'Costi B2Brand'!$D$6+D$8)/('Conti per prodotto'!$O$10+'Conti per prodotto'!$I$10),(Ipotesi!$B$14+'Costi B2Brand'!$D$6+D$8)/'Conti per prodotto'!$I$10),0)</f>
        <v/>
      </c>
    </row>
    <row r="12">
      <c r="A12" s="6" t="inlineStr">
        <is>
          <t>Ordini al mese necessari per l'obiettivo, anno 3</t>
        </is>
      </c>
      <c r="B12" s="18">
        <f>ROUND(IF(Ipotesi!$B$15="margine",(2*Ipotesi!$B$14+'Costi B2Brand'!$E$6+B$9)/('Conti per prodotto'!$O$10+'Conti per prodotto'!$I$10),(Ipotesi!$B$14+'Costi B2Brand'!$E$6+B$9)/'Conti per prodotto'!$I$10),0)</f>
        <v/>
      </c>
      <c r="C12" s="18">
        <f>ROUND(IF(Ipotesi!$B$15="margine",(2*Ipotesi!$B$14+'Costi B2Brand'!$E$6+C$9)/('Conti per prodotto'!$O$10+'Conti per prodotto'!$I$10),(Ipotesi!$B$14+'Costi B2Brand'!$E$6+C$9)/'Conti per prodotto'!$I$10),0)</f>
        <v/>
      </c>
      <c r="D12" s="18">
        <f>ROUND(IF(Ipotesi!$B$15="margine",(2*Ipotesi!$B$14+'Costi B2Brand'!$E$6+D$9)/('Conti per prodotto'!$O$10+'Conti per prodotto'!$I$10),(Ipotesi!$B$14+'Costi B2Brand'!$E$6+D$9)/'Conti per prodotto'!$I$10),0)</f>
        <v/>
      </c>
    </row>
    <row r="13">
      <c r="A13" s="6" t="inlineStr">
        <is>
          <t>Tendenza a fine anno 2 (ordini al mese senza stagionalità)</t>
        </is>
      </c>
      <c r="B13" s="19">
        <f>B$3+(B$4*12-B$3*Stagionalità!$B$14)/Stagionalità!$E$14</f>
        <v/>
      </c>
      <c r="C13" s="19">
        <f>C$3+(C$4*12-C$3*Stagionalità!$B$14)/Stagionalità!$E$14</f>
        <v/>
      </c>
      <c r="D13" s="19">
        <f>D$3+(D$4*12-D$3*Stagionalità!$B$14)/Stagionalità!$E$14</f>
        <v/>
      </c>
      <c r="E13" t="inlineStr">
        <is>
          <t>Crescita continua: dalla fine dell'anno 1 gli ordini salgono in linea retta, con lo stesso totale annuo di «media × 12». Niente salti a marzo.</t>
        </is>
      </c>
    </row>
    <row r="14">
      <c r="A14" s="6" t="inlineStr">
        <is>
          <t>Tendenza a fine anno 3 (ordini al mese senza stagionalità)</t>
        </is>
      </c>
      <c r="B14" s="19">
        <f>B$13+(B$5*12-B$13*Stagionalità!$B$14)/Stagionalità!$E$14</f>
        <v/>
      </c>
      <c r="C14" s="19">
        <f>C$13+(C$5*12-C$13*Stagionalità!$B$14)/Stagionalità!$E$14</f>
        <v/>
      </c>
      <c r="D14" s="19">
        <f>D$13+(D$5*12-D$13*Stagionalità!$B$14)/Stagionalità!$E$14</f>
        <v/>
      </c>
    </row>
    <row r="15">
      <c r="A15" s="17" t="inlineStr">
        <is>
          <t>Proiezione mese per mese (formule). Netto = soldi in tasca, prima delle tasse.</t>
        </is>
      </c>
    </row>
    <row r="16">
      <c r="A16" s="17" t="inlineStr">
        <is>
          <t>Prudente</t>
        </is>
      </c>
      <c r="Q16" s="17" t="inlineStr">
        <is>
          <t>Medio</t>
        </is>
      </c>
      <c r="AG16" s="17" t="inlineStr">
        <is>
          <t>Ambizioso</t>
        </is>
      </c>
    </row>
    <row r="17" ht="54" customHeight="1">
      <c r="A17" s="3" t="inlineStr">
        <is>
          <t>Mese</t>
        </is>
      </c>
      <c r="B17" s="3" t="inlineStr">
        <is>
          <t>Anno</t>
        </is>
      </c>
      <c r="C17" s="3" t="inlineStr">
        <is>
          <t>Ordini</t>
        </is>
      </c>
      <c r="D17" s="3" t="inlineStr">
        <is>
          <t>Vendite online (€)</t>
        </is>
      </c>
      <c r="E17" s="3" t="inlineStr">
        <is>
          <t>Margine da dividere (€)</t>
        </is>
      </c>
      <c r="F17" s="3" t="inlineStr">
        <is>
          <t>Spese B2Brand (€)</t>
        </is>
      </c>
      <c r="G17" s="3" t="inlineStr">
        <is>
          <t>Pubblicità (€)</t>
        </is>
      </c>
      <c r="H17" s="3" t="inlineStr">
        <is>
          <t>Da recuperare per B2Brand (€)</t>
        </is>
      </c>
      <c r="I17" s="3" t="inlineStr">
        <is>
          <t>Versato a B2Brand (€)</t>
        </is>
      </c>
      <c r="J17" s="3" t="inlineStr">
        <is>
          <t>Netto B2Brand (€)</t>
        </is>
      </c>
      <c r="K17" s="3" t="inlineStr">
        <is>
          <t>Cumulato B2Brand (€)</t>
        </is>
      </c>
      <c r="L17" s="3" t="inlineStr">
        <is>
          <t>Netto Kalab (€)</t>
        </is>
      </c>
      <c r="M17" s="3" t="inlineStr">
        <is>
          <t>Cumulato Kalab (€)</t>
        </is>
      </c>
      <c r="N17" s="3" t="inlineStr">
        <is>
          <t>(appoggio) mese a quota obiettivo</t>
        </is>
      </c>
      <c r="O17" s="3" t="inlineStr">
        <is>
          <t>(appoggio) mese B2Brand in attivo</t>
        </is>
      </c>
      <c r="Q17" s="3" t="inlineStr">
        <is>
          <t>Mese</t>
        </is>
      </c>
      <c r="R17" s="3" t="inlineStr">
        <is>
          <t>Anno</t>
        </is>
      </c>
      <c r="S17" s="3" t="inlineStr">
        <is>
          <t>Ordini</t>
        </is>
      </c>
      <c r="T17" s="3" t="inlineStr">
        <is>
          <t>Vendite online (€)</t>
        </is>
      </c>
      <c r="U17" s="3" t="inlineStr">
        <is>
          <t>Margine da dividere (€)</t>
        </is>
      </c>
      <c r="V17" s="3" t="inlineStr">
        <is>
          <t>Spese B2Brand (€)</t>
        </is>
      </c>
      <c r="W17" s="3" t="inlineStr">
        <is>
          <t>Pubblicità (€)</t>
        </is>
      </c>
      <c r="X17" s="3" t="inlineStr">
        <is>
          <t>Da recuperare per B2Brand (€)</t>
        </is>
      </c>
      <c r="Y17" s="3" t="inlineStr">
        <is>
          <t>Versato a B2Brand (€)</t>
        </is>
      </c>
      <c r="Z17" s="3" t="inlineStr">
        <is>
          <t>Netto B2Brand (€)</t>
        </is>
      </c>
      <c r="AA17" s="3" t="inlineStr">
        <is>
          <t>Cumulato B2Brand (€)</t>
        </is>
      </c>
      <c r="AB17" s="3" t="inlineStr">
        <is>
          <t>Netto Kalab (€)</t>
        </is>
      </c>
      <c r="AC17" s="3" t="inlineStr">
        <is>
          <t>Cumulato Kalab (€)</t>
        </is>
      </c>
      <c r="AD17" s="3" t="inlineStr">
        <is>
          <t>(appoggio) mese a quota obiettivo</t>
        </is>
      </c>
      <c r="AE17" s="3" t="inlineStr">
        <is>
          <t>(appoggio) mese B2Brand in attivo</t>
        </is>
      </c>
      <c r="AG17" s="3" t="inlineStr">
        <is>
          <t>Mese</t>
        </is>
      </c>
      <c r="AH17" s="3" t="inlineStr">
        <is>
          <t>Anno</t>
        </is>
      </c>
      <c r="AI17" s="3" t="inlineStr">
        <is>
          <t>Ordini</t>
        </is>
      </c>
      <c r="AJ17" s="3" t="inlineStr">
        <is>
          <t>Vendite online (€)</t>
        </is>
      </c>
      <c r="AK17" s="3" t="inlineStr">
        <is>
          <t>Margine da dividere (€)</t>
        </is>
      </c>
      <c r="AL17" s="3" t="inlineStr">
        <is>
          <t>Spese B2Brand (€)</t>
        </is>
      </c>
      <c r="AM17" s="3" t="inlineStr">
        <is>
          <t>Pubblicità (€)</t>
        </is>
      </c>
      <c r="AN17" s="3" t="inlineStr">
        <is>
          <t>Da recuperare per B2Brand (€)</t>
        </is>
      </c>
      <c r="AO17" s="3" t="inlineStr">
        <is>
          <t>Versato a B2Brand (€)</t>
        </is>
      </c>
      <c r="AP17" s="3" t="inlineStr">
        <is>
          <t>Netto B2Brand (€)</t>
        </is>
      </c>
      <c r="AQ17" s="3" t="inlineStr">
        <is>
          <t>Cumulato B2Brand (€)</t>
        </is>
      </c>
      <c r="AR17" s="3" t="inlineStr">
        <is>
          <t>Netto Kalab (€)</t>
        </is>
      </c>
      <c r="AS17" s="3" t="inlineStr">
        <is>
          <t>Cumulato Kalab (€)</t>
        </is>
      </c>
      <c r="AT17" s="3" t="inlineStr">
        <is>
          <t>(appoggio) mese a quota obiettivo</t>
        </is>
      </c>
      <c r="AU17" s="3" t="inlineStr">
        <is>
          <t>(appoggio) mese B2Brand in attivo</t>
        </is>
      </c>
    </row>
    <row r="18">
      <c r="A18" s="4" t="n">
        <v>1</v>
      </c>
      <c r="B18" s="4" t="n">
        <v>1</v>
      </c>
      <c r="C18" s="4">
        <f>ROUND(B$3*MIN(1,1/B$6)*Stagionalità!$B$4,0)</f>
        <v/>
      </c>
      <c r="D18" s="20">
        <f>C18*'Conti per prodotto'!$B$10</f>
        <v/>
      </c>
      <c r="E18" s="20">
        <f>C18*('Conti per prodotto'!$O$10+'Conti per prodotto'!$I$10)</f>
        <v/>
      </c>
      <c r="F18" s="20">
        <f>'Costi B2Brand'!$C$6+'Costi B2Brand'!$B$6</f>
        <v/>
      </c>
      <c r="G18" s="20">
        <f>B$7</f>
        <v/>
      </c>
      <c r="H18" s="20">
        <f>0</f>
        <v/>
      </c>
      <c r="I18" s="20">
        <f>IF(Ipotesi!$B$15="margine",MIN(E18,F18+G18+H18+0.5*MAX(0,(E18-F18-G18)-H18)),C18*'Conti per prodotto'!$I$10)</f>
        <v/>
      </c>
      <c r="J18" s="19">
        <f>I18-F18-G18</f>
        <v/>
      </c>
      <c r="K18" s="20">
        <f>J18</f>
        <v/>
      </c>
      <c r="L18" s="19">
        <f>E18-I18</f>
        <v/>
      </c>
      <c r="M18" s="20">
        <f>L18</f>
        <v/>
      </c>
      <c r="N18" s="21">
        <f>IF(IF(Ipotesi!$B$15="margine",(E18-F18-G18)/2,J18)&gt;=Ipotesi!$B$14,A18,"")</f>
        <v/>
      </c>
      <c r="O18" s="21">
        <f>IF(AND(A18&gt;1,K18&gt;=0),A18,"")</f>
        <v/>
      </c>
      <c r="Q18" s="4" t="n">
        <v>1</v>
      </c>
      <c r="R18" s="4" t="n">
        <v>1</v>
      </c>
      <c r="S18" s="4">
        <f>ROUND(C$3*MIN(1,1/C$6)*Stagionalità!$B$4,0)</f>
        <v/>
      </c>
      <c r="T18" s="20">
        <f>S18*'Conti per prodotto'!$B$10</f>
        <v/>
      </c>
      <c r="U18" s="20">
        <f>S18*('Conti per prodotto'!$O$10+'Conti per prodotto'!$I$10)</f>
        <v/>
      </c>
      <c r="V18" s="20">
        <f>'Costi B2Brand'!$C$6+'Costi B2Brand'!$B$6</f>
        <v/>
      </c>
      <c r="W18" s="20">
        <f>C$7</f>
        <v/>
      </c>
      <c r="X18" s="20">
        <f>0</f>
        <v/>
      </c>
      <c r="Y18" s="20">
        <f>IF(Ipotesi!$B$15="margine",MIN(U18,V18+W18+X18+0.5*MAX(0,(U18-V18-W18)-X18)),S18*'Conti per prodotto'!$I$10)</f>
        <v/>
      </c>
      <c r="Z18" s="19">
        <f>Y18-V18-W18</f>
        <v/>
      </c>
      <c r="AA18" s="20">
        <f>Z18</f>
        <v/>
      </c>
      <c r="AB18" s="19">
        <f>U18-Y18</f>
        <v/>
      </c>
      <c r="AC18" s="20">
        <f>AB18</f>
        <v/>
      </c>
      <c r="AD18" s="21">
        <f>IF(IF(Ipotesi!$B$15="margine",(U18-V18-W18)/2,Z18)&gt;=Ipotesi!$B$14,Q18,"")</f>
        <v/>
      </c>
      <c r="AE18" s="21">
        <f>IF(AND(Q18&gt;1,AA18&gt;=0),Q18,"")</f>
        <v/>
      </c>
      <c r="AG18" s="4" t="n">
        <v>1</v>
      </c>
      <c r="AH18" s="4" t="n">
        <v>1</v>
      </c>
      <c r="AI18" s="4">
        <f>ROUND(D$3*MIN(1,1/D$6)*Stagionalità!$B$4,0)</f>
        <v/>
      </c>
      <c r="AJ18" s="20">
        <f>AI18*'Conti per prodotto'!$B$10</f>
        <v/>
      </c>
      <c r="AK18" s="20">
        <f>AI18*('Conti per prodotto'!$O$10+'Conti per prodotto'!$I$10)</f>
        <v/>
      </c>
      <c r="AL18" s="20">
        <f>'Costi B2Brand'!$C$6+'Costi B2Brand'!$B$6</f>
        <v/>
      </c>
      <c r="AM18" s="20">
        <f>D$7</f>
        <v/>
      </c>
      <c r="AN18" s="20">
        <f>0</f>
        <v/>
      </c>
      <c r="AO18" s="20">
        <f>IF(Ipotesi!$B$15="margine",MIN(AK18,AL18+AM18+AN18+0.5*MAX(0,(AK18-AL18-AM18)-AN18)),AI18*'Conti per prodotto'!$I$10)</f>
        <v/>
      </c>
      <c r="AP18" s="19">
        <f>AO18-AL18-AM18</f>
        <v/>
      </c>
      <c r="AQ18" s="20">
        <f>AP18</f>
        <v/>
      </c>
      <c r="AR18" s="19">
        <f>AK18-AO18</f>
        <v/>
      </c>
      <c r="AS18" s="20">
        <f>AR18</f>
        <v/>
      </c>
      <c r="AT18" s="21">
        <f>IF(IF(Ipotesi!$B$15="margine",(AK18-AL18-AM18)/2,AP18)&gt;=Ipotesi!$B$14,AG18,"")</f>
        <v/>
      </c>
      <c r="AU18" s="21">
        <f>IF(AND(AG18&gt;1,AQ18&gt;=0),AG18,"")</f>
        <v/>
      </c>
    </row>
    <row r="19">
      <c r="A19" s="4" t="n">
        <v>2</v>
      </c>
      <c r="B19" s="4" t="n">
        <v>1</v>
      </c>
      <c r="C19" s="4">
        <f>ROUND(B$3*MIN(1,2/B$6)*Stagionalità!$B$5,0)</f>
        <v/>
      </c>
      <c r="D19" s="20">
        <f>C19*'Conti per prodotto'!$B$10</f>
        <v/>
      </c>
      <c r="E19" s="20">
        <f>C19*('Conti per prodotto'!$O$10+'Conti per prodotto'!$I$10)</f>
        <v/>
      </c>
      <c r="F19" s="20">
        <f>'Costi B2Brand'!$C$6</f>
        <v/>
      </c>
      <c r="G19" s="20">
        <f>B$7</f>
        <v/>
      </c>
      <c r="H19" s="20">
        <f>IF(Ipotesi!$B$15="margine",MAX(0,H18-(E18-F18-G18)),0)</f>
        <v/>
      </c>
      <c r="I19" s="20">
        <f>IF(Ipotesi!$B$15="margine",MIN(E19,F19+G19+H19+0.5*MAX(0,(E19-F19-G19)-H19)),C19*'Conti per prodotto'!$I$10)</f>
        <v/>
      </c>
      <c r="J19" s="19">
        <f>I19-F19-G19</f>
        <v/>
      </c>
      <c r="K19" s="20">
        <f>K18+J19</f>
        <v/>
      </c>
      <c r="L19" s="19">
        <f>E19-I19</f>
        <v/>
      </c>
      <c r="M19" s="20">
        <f>M18+L19</f>
        <v/>
      </c>
      <c r="N19" s="21">
        <f>IF(IF(Ipotesi!$B$15="margine",(E19-F19-G19)/2,J19)&gt;=Ipotesi!$B$14,A19,"")</f>
        <v/>
      </c>
      <c r="O19" s="21">
        <f>IF(AND(A19&gt;1,K19&gt;=0),A19,"")</f>
        <v/>
      </c>
      <c r="Q19" s="4" t="n">
        <v>2</v>
      </c>
      <c r="R19" s="4" t="n">
        <v>1</v>
      </c>
      <c r="S19" s="4">
        <f>ROUND(C$3*MIN(1,2/C$6)*Stagionalità!$B$5,0)</f>
        <v/>
      </c>
      <c r="T19" s="20">
        <f>S19*'Conti per prodotto'!$B$10</f>
        <v/>
      </c>
      <c r="U19" s="20">
        <f>S19*('Conti per prodotto'!$O$10+'Conti per prodotto'!$I$10)</f>
        <v/>
      </c>
      <c r="V19" s="20">
        <f>'Costi B2Brand'!$C$6</f>
        <v/>
      </c>
      <c r="W19" s="20">
        <f>C$7</f>
        <v/>
      </c>
      <c r="X19" s="20">
        <f>IF(Ipotesi!$B$15="margine",MAX(0,X18-(U18-V18-W18)),0)</f>
        <v/>
      </c>
      <c r="Y19" s="20">
        <f>IF(Ipotesi!$B$15="margine",MIN(U19,V19+W19+X19+0.5*MAX(0,(U19-V19-W19)-X19)),S19*'Conti per prodotto'!$I$10)</f>
        <v/>
      </c>
      <c r="Z19" s="19">
        <f>Y19-V19-W19</f>
        <v/>
      </c>
      <c r="AA19" s="20">
        <f>AA18+Z19</f>
        <v/>
      </c>
      <c r="AB19" s="19">
        <f>U19-Y19</f>
        <v/>
      </c>
      <c r="AC19" s="20">
        <f>AC18+AB19</f>
        <v/>
      </c>
      <c r="AD19" s="21">
        <f>IF(IF(Ipotesi!$B$15="margine",(U19-V19-W19)/2,Z19)&gt;=Ipotesi!$B$14,Q19,"")</f>
        <v/>
      </c>
      <c r="AE19" s="21">
        <f>IF(AND(Q19&gt;1,AA19&gt;=0),Q19,"")</f>
        <v/>
      </c>
      <c r="AG19" s="4" t="n">
        <v>2</v>
      </c>
      <c r="AH19" s="4" t="n">
        <v>1</v>
      </c>
      <c r="AI19" s="4">
        <f>ROUND(D$3*MIN(1,2/D$6)*Stagionalità!$B$5,0)</f>
        <v/>
      </c>
      <c r="AJ19" s="20">
        <f>AI19*'Conti per prodotto'!$B$10</f>
        <v/>
      </c>
      <c r="AK19" s="20">
        <f>AI19*('Conti per prodotto'!$O$10+'Conti per prodotto'!$I$10)</f>
        <v/>
      </c>
      <c r="AL19" s="20">
        <f>'Costi B2Brand'!$C$6</f>
        <v/>
      </c>
      <c r="AM19" s="20">
        <f>D$7</f>
        <v/>
      </c>
      <c r="AN19" s="20">
        <f>IF(Ipotesi!$B$15="margine",MAX(0,AN18-(AK18-AL18-AM18)),0)</f>
        <v/>
      </c>
      <c r="AO19" s="20">
        <f>IF(Ipotesi!$B$15="margine",MIN(AK19,AL19+AM19+AN19+0.5*MAX(0,(AK19-AL19-AM19)-AN19)),AI19*'Conti per prodotto'!$I$10)</f>
        <v/>
      </c>
      <c r="AP19" s="19">
        <f>AO19-AL19-AM19</f>
        <v/>
      </c>
      <c r="AQ19" s="20">
        <f>AQ18+AP19</f>
        <v/>
      </c>
      <c r="AR19" s="19">
        <f>AK19-AO19</f>
        <v/>
      </c>
      <c r="AS19" s="20">
        <f>AS18+AR19</f>
        <v/>
      </c>
      <c r="AT19" s="21">
        <f>IF(IF(Ipotesi!$B$15="margine",(AK19-AL19-AM19)/2,AP19)&gt;=Ipotesi!$B$14,AG19,"")</f>
        <v/>
      </c>
      <c r="AU19" s="21">
        <f>IF(AND(AG19&gt;1,AQ19&gt;=0),AG19,"")</f>
        <v/>
      </c>
    </row>
    <row r="20">
      <c r="A20" s="4" t="n">
        <v>3</v>
      </c>
      <c r="B20" s="4" t="n">
        <v>1</v>
      </c>
      <c r="C20" s="4">
        <f>ROUND(B$3*MIN(1,3/B$6)*Stagionalità!$B$6,0)</f>
        <v/>
      </c>
      <c r="D20" s="20">
        <f>C20*'Conti per prodotto'!$B$10</f>
        <v/>
      </c>
      <c r="E20" s="20">
        <f>C20*('Conti per prodotto'!$O$10+'Conti per prodotto'!$I$10)</f>
        <v/>
      </c>
      <c r="F20" s="20">
        <f>'Costi B2Brand'!$C$6</f>
        <v/>
      </c>
      <c r="G20" s="20">
        <f>B$7</f>
        <v/>
      </c>
      <c r="H20" s="20">
        <f>IF(Ipotesi!$B$15="margine",MAX(0,H19-(E19-F19-G19)),0)</f>
        <v/>
      </c>
      <c r="I20" s="20">
        <f>IF(Ipotesi!$B$15="margine",MIN(E20,F20+G20+H20+0.5*MAX(0,(E20-F20-G20)-H20)),C20*'Conti per prodotto'!$I$10)</f>
        <v/>
      </c>
      <c r="J20" s="19">
        <f>I20-F20-G20</f>
        <v/>
      </c>
      <c r="K20" s="20">
        <f>K19+J20</f>
        <v/>
      </c>
      <c r="L20" s="19">
        <f>E20-I20</f>
        <v/>
      </c>
      <c r="M20" s="20">
        <f>M19+L20</f>
        <v/>
      </c>
      <c r="N20" s="21">
        <f>IF(IF(Ipotesi!$B$15="margine",(E20-F20-G20)/2,J20)&gt;=Ipotesi!$B$14,A20,"")</f>
        <v/>
      </c>
      <c r="O20" s="21">
        <f>IF(AND(A20&gt;1,K20&gt;=0),A20,"")</f>
        <v/>
      </c>
      <c r="Q20" s="4" t="n">
        <v>3</v>
      </c>
      <c r="R20" s="4" t="n">
        <v>1</v>
      </c>
      <c r="S20" s="4">
        <f>ROUND(C$3*MIN(1,3/C$6)*Stagionalità!$B$6,0)</f>
        <v/>
      </c>
      <c r="T20" s="20">
        <f>S20*'Conti per prodotto'!$B$10</f>
        <v/>
      </c>
      <c r="U20" s="20">
        <f>S20*('Conti per prodotto'!$O$10+'Conti per prodotto'!$I$10)</f>
        <v/>
      </c>
      <c r="V20" s="20">
        <f>'Costi B2Brand'!$C$6</f>
        <v/>
      </c>
      <c r="W20" s="20">
        <f>C$7</f>
        <v/>
      </c>
      <c r="X20" s="20">
        <f>IF(Ipotesi!$B$15="margine",MAX(0,X19-(U19-V19-W19)),0)</f>
        <v/>
      </c>
      <c r="Y20" s="20">
        <f>IF(Ipotesi!$B$15="margine",MIN(U20,V20+W20+X20+0.5*MAX(0,(U20-V20-W20)-X20)),S20*'Conti per prodotto'!$I$10)</f>
        <v/>
      </c>
      <c r="Z20" s="19">
        <f>Y20-V20-W20</f>
        <v/>
      </c>
      <c r="AA20" s="20">
        <f>AA19+Z20</f>
        <v/>
      </c>
      <c r="AB20" s="19">
        <f>U20-Y20</f>
        <v/>
      </c>
      <c r="AC20" s="20">
        <f>AC19+AB20</f>
        <v/>
      </c>
      <c r="AD20" s="21">
        <f>IF(IF(Ipotesi!$B$15="margine",(U20-V20-W20)/2,Z20)&gt;=Ipotesi!$B$14,Q20,"")</f>
        <v/>
      </c>
      <c r="AE20" s="21">
        <f>IF(AND(Q20&gt;1,AA20&gt;=0),Q20,"")</f>
        <v/>
      </c>
      <c r="AG20" s="4" t="n">
        <v>3</v>
      </c>
      <c r="AH20" s="4" t="n">
        <v>1</v>
      </c>
      <c r="AI20" s="4">
        <f>ROUND(D$3*MIN(1,3/D$6)*Stagionalità!$B$6,0)</f>
        <v/>
      </c>
      <c r="AJ20" s="20">
        <f>AI20*'Conti per prodotto'!$B$10</f>
        <v/>
      </c>
      <c r="AK20" s="20">
        <f>AI20*('Conti per prodotto'!$O$10+'Conti per prodotto'!$I$10)</f>
        <v/>
      </c>
      <c r="AL20" s="20">
        <f>'Costi B2Brand'!$C$6</f>
        <v/>
      </c>
      <c r="AM20" s="20">
        <f>D$7</f>
        <v/>
      </c>
      <c r="AN20" s="20">
        <f>IF(Ipotesi!$B$15="margine",MAX(0,AN19-(AK19-AL19-AM19)),0)</f>
        <v/>
      </c>
      <c r="AO20" s="20">
        <f>IF(Ipotesi!$B$15="margine",MIN(AK20,AL20+AM20+AN20+0.5*MAX(0,(AK20-AL20-AM20)-AN20)),AI20*'Conti per prodotto'!$I$10)</f>
        <v/>
      </c>
      <c r="AP20" s="19">
        <f>AO20-AL20-AM20</f>
        <v/>
      </c>
      <c r="AQ20" s="20">
        <f>AQ19+AP20</f>
        <v/>
      </c>
      <c r="AR20" s="19">
        <f>AK20-AO20</f>
        <v/>
      </c>
      <c r="AS20" s="20">
        <f>AS19+AR20</f>
        <v/>
      </c>
      <c r="AT20" s="21">
        <f>IF(IF(Ipotesi!$B$15="margine",(AK20-AL20-AM20)/2,AP20)&gt;=Ipotesi!$B$14,AG20,"")</f>
        <v/>
      </c>
      <c r="AU20" s="21">
        <f>IF(AND(AG20&gt;1,AQ20&gt;=0),AG20,"")</f>
        <v/>
      </c>
    </row>
    <row r="21">
      <c r="A21" s="4" t="n">
        <v>4</v>
      </c>
      <c r="B21" s="4" t="n">
        <v>1</v>
      </c>
      <c r="C21" s="4">
        <f>ROUND(B$3*MIN(1,4/B$6)*Stagionalità!$B$7,0)</f>
        <v/>
      </c>
      <c r="D21" s="20">
        <f>C21*'Conti per prodotto'!$B$10</f>
        <v/>
      </c>
      <c r="E21" s="20">
        <f>C21*('Conti per prodotto'!$O$10+'Conti per prodotto'!$I$10)</f>
        <v/>
      </c>
      <c r="F21" s="20">
        <f>'Costi B2Brand'!$C$6</f>
        <v/>
      </c>
      <c r="G21" s="20">
        <f>B$7</f>
        <v/>
      </c>
      <c r="H21" s="20">
        <f>IF(Ipotesi!$B$15="margine",MAX(0,H20-(E20-F20-G20)),0)</f>
        <v/>
      </c>
      <c r="I21" s="20">
        <f>IF(Ipotesi!$B$15="margine",MIN(E21,F21+G21+H21+0.5*MAX(0,(E21-F21-G21)-H21)),C21*'Conti per prodotto'!$I$10)</f>
        <v/>
      </c>
      <c r="J21" s="19">
        <f>I21-F21-G21</f>
        <v/>
      </c>
      <c r="K21" s="20">
        <f>K20+J21</f>
        <v/>
      </c>
      <c r="L21" s="19">
        <f>E21-I21</f>
        <v/>
      </c>
      <c r="M21" s="20">
        <f>M20+L21</f>
        <v/>
      </c>
      <c r="N21" s="21">
        <f>IF(IF(Ipotesi!$B$15="margine",(E21-F21-G21)/2,J21)&gt;=Ipotesi!$B$14,A21,"")</f>
        <v/>
      </c>
      <c r="O21" s="21">
        <f>IF(AND(A21&gt;1,K21&gt;=0),A21,"")</f>
        <v/>
      </c>
      <c r="Q21" s="4" t="n">
        <v>4</v>
      </c>
      <c r="R21" s="4" t="n">
        <v>1</v>
      </c>
      <c r="S21" s="4">
        <f>ROUND(C$3*MIN(1,4/C$6)*Stagionalità!$B$7,0)</f>
        <v/>
      </c>
      <c r="T21" s="20">
        <f>S21*'Conti per prodotto'!$B$10</f>
        <v/>
      </c>
      <c r="U21" s="20">
        <f>S21*('Conti per prodotto'!$O$10+'Conti per prodotto'!$I$10)</f>
        <v/>
      </c>
      <c r="V21" s="20">
        <f>'Costi B2Brand'!$C$6</f>
        <v/>
      </c>
      <c r="W21" s="20">
        <f>C$7</f>
        <v/>
      </c>
      <c r="X21" s="20">
        <f>IF(Ipotesi!$B$15="margine",MAX(0,X20-(U20-V20-W20)),0)</f>
        <v/>
      </c>
      <c r="Y21" s="20">
        <f>IF(Ipotesi!$B$15="margine",MIN(U21,V21+W21+X21+0.5*MAX(0,(U21-V21-W21)-X21)),S21*'Conti per prodotto'!$I$10)</f>
        <v/>
      </c>
      <c r="Z21" s="19">
        <f>Y21-V21-W21</f>
        <v/>
      </c>
      <c r="AA21" s="20">
        <f>AA20+Z21</f>
        <v/>
      </c>
      <c r="AB21" s="19">
        <f>U21-Y21</f>
        <v/>
      </c>
      <c r="AC21" s="20">
        <f>AC20+AB21</f>
        <v/>
      </c>
      <c r="AD21" s="21">
        <f>IF(IF(Ipotesi!$B$15="margine",(U21-V21-W21)/2,Z21)&gt;=Ipotesi!$B$14,Q21,"")</f>
        <v/>
      </c>
      <c r="AE21" s="21">
        <f>IF(AND(Q21&gt;1,AA21&gt;=0),Q21,"")</f>
        <v/>
      </c>
      <c r="AG21" s="4" t="n">
        <v>4</v>
      </c>
      <c r="AH21" s="4" t="n">
        <v>1</v>
      </c>
      <c r="AI21" s="4">
        <f>ROUND(D$3*MIN(1,4/D$6)*Stagionalità!$B$7,0)</f>
        <v/>
      </c>
      <c r="AJ21" s="20">
        <f>AI21*'Conti per prodotto'!$B$10</f>
        <v/>
      </c>
      <c r="AK21" s="20">
        <f>AI21*('Conti per prodotto'!$O$10+'Conti per prodotto'!$I$10)</f>
        <v/>
      </c>
      <c r="AL21" s="20">
        <f>'Costi B2Brand'!$C$6</f>
        <v/>
      </c>
      <c r="AM21" s="20">
        <f>D$7</f>
        <v/>
      </c>
      <c r="AN21" s="20">
        <f>IF(Ipotesi!$B$15="margine",MAX(0,AN20-(AK20-AL20-AM20)),0)</f>
        <v/>
      </c>
      <c r="AO21" s="20">
        <f>IF(Ipotesi!$B$15="margine",MIN(AK21,AL21+AM21+AN21+0.5*MAX(0,(AK21-AL21-AM21)-AN21)),AI21*'Conti per prodotto'!$I$10)</f>
        <v/>
      </c>
      <c r="AP21" s="19">
        <f>AO21-AL21-AM21</f>
        <v/>
      </c>
      <c r="AQ21" s="20">
        <f>AQ20+AP21</f>
        <v/>
      </c>
      <c r="AR21" s="19">
        <f>AK21-AO21</f>
        <v/>
      </c>
      <c r="AS21" s="20">
        <f>AS20+AR21</f>
        <v/>
      </c>
      <c r="AT21" s="21">
        <f>IF(IF(Ipotesi!$B$15="margine",(AK21-AL21-AM21)/2,AP21)&gt;=Ipotesi!$B$14,AG21,"")</f>
        <v/>
      </c>
      <c r="AU21" s="21">
        <f>IF(AND(AG21&gt;1,AQ21&gt;=0),AG21,"")</f>
        <v/>
      </c>
    </row>
    <row r="22">
      <c r="A22" s="4" t="n">
        <v>5</v>
      </c>
      <c r="B22" s="4" t="n">
        <v>1</v>
      </c>
      <c r="C22" s="4">
        <f>ROUND(B$3*MIN(1,5/B$6)*Stagionalità!$B$8,0)</f>
        <v/>
      </c>
      <c r="D22" s="20">
        <f>C22*'Conti per prodotto'!$B$10</f>
        <v/>
      </c>
      <c r="E22" s="20">
        <f>C22*('Conti per prodotto'!$O$10+'Conti per prodotto'!$I$10)</f>
        <v/>
      </c>
      <c r="F22" s="20">
        <f>'Costi B2Brand'!$C$6</f>
        <v/>
      </c>
      <c r="G22" s="20">
        <f>B$7</f>
        <v/>
      </c>
      <c r="H22" s="20">
        <f>IF(Ipotesi!$B$15="margine",MAX(0,H21-(E21-F21-G21)),0)</f>
        <v/>
      </c>
      <c r="I22" s="20">
        <f>IF(Ipotesi!$B$15="margine",MIN(E22,F22+G22+H22+0.5*MAX(0,(E22-F22-G22)-H22)),C22*'Conti per prodotto'!$I$10)</f>
        <v/>
      </c>
      <c r="J22" s="19">
        <f>I22-F22-G22</f>
        <v/>
      </c>
      <c r="K22" s="20">
        <f>K21+J22</f>
        <v/>
      </c>
      <c r="L22" s="19">
        <f>E22-I22</f>
        <v/>
      </c>
      <c r="M22" s="20">
        <f>M21+L22</f>
        <v/>
      </c>
      <c r="N22" s="21">
        <f>IF(IF(Ipotesi!$B$15="margine",(E22-F22-G22)/2,J22)&gt;=Ipotesi!$B$14,A22,"")</f>
        <v/>
      </c>
      <c r="O22" s="21">
        <f>IF(AND(A22&gt;1,K22&gt;=0),A22,"")</f>
        <v/>
      </c>
      <c r="Q22" s="4" t="n">
        <v>5</v>
      </c>
      <c r="R22" s="4" t="n">
        <v>1</v>
      </c>
      <c r="S22" s="4">
        <f>ROUND(C$3*MIN(1,5/C$6)*Stagionalità!$B$8,0)</f>
        <v/>
      </c>
      <c r="T22" s="20">
        <f>S22*'Conti per prodotto'!$B$10</f>
        <v/>
      </c>
      <c r="U22" s="20">
        <f>S22*('Conti per prodotto'!$O$10+'Conti per prodotto'!$I$10)</f>
        <v/>
      </c>
      <c r="V22" s="20">
        <f>'Costi B2Brand'!$C$6</f>
        <v/>
      </c>
      <c r="W22" s="20">
        <f>C$7</f>
        <v/>
      </c>
      <c r="X22" s="20">
        <f>IF(Ipotesi!$B$15="margine",MAX(0,X21-(U21-V21-W21)),0)</f>
        <v/>
      </c>
      <c r="Y22" s="20">
        <f>IF(Ipotesi!$B$15="margine",MIN(U22,V22+W22+X22+0.5*MAX(0,(U22-V22-W22)-X22)),S22*'Conti per prodotto'!$I$10)</f>
        <v/>
      </c>
      <c r="Z22" s="19">
        <f>Y22-V22-W22</f>
        <v/>
      </c>
      <c r="AA22" s="20">
        <f>AA21+Z22</f>
        <v/>
      </c>
      <c r="AB22" s="19">
        <f>U22-Y22</f>
        <v/>
      </c>
      <c r="AC22" s="20">
        <f>AC21+AB22</f>
        <v/>
      </c>
      <c r="AD22" s="21">
        <f>IF(IF(Ipotesi!$B$15="margine",(U22-V22-W22)/2,Z22)&gt;=Ipotesi!$B$14,Q22,"")</f>
        <v/>
      </c>
      <c r="AE22" s="21">
        <f>IF(AND(Q22&gt;1,AA22&gt;=0),Q22,"")</f>
        <v/>
      </c>
      <c r="AG22" s="4" t="n">
        <v>5</v>
      </c>
      <c r="AH22" s="4" t="n">
        <v>1</v>
      </c>
      <c r="AI22" s="4">
        <f>ROUND(D$3*MIN(1,5/D$6)*Stagionalità!$B$8,0)</f>
        <v/>
      </c>
      <c r="AJ22" s="20">
        <f>AI22*'Conti per prodotto'!$B$10</f>
        <v/>
      </c>
      <c r="AK22" s="20">
        <f>AI22*('Conti per prodotto'!$O$10+'Conti per prodotto'!$I$10)</f>
        <v/>
      </c>
      <c r="AL22" s="20">
        <f>'Costi B2Brand'!$C$6</f>
        <v/>
      </c>
      <c r="AM22" s="20">
        <f>D$7</f>
        <v/>
      </c>
      <c r="AN22" s="20">
        <f>IF(Ipotesi!$B$15="margine",MAX(0,AN21-(AK21-AL21-AM21)),0)</f>
        <v/>
      </c>
      <c r="AO22" s="20">
        <f>IF(Ipotesi!$B$15="margine",MIN(AK22,AL22+AM22+AN22+0.5*MAX(0,(AK22-AL22-AM22)-AN22)),AI22*'Conti per prodotto'!$I$10)</f>
        <v/>
      </c>
      <c r="AP22" s="19">
        <f>AO22-AL22-AM22</f>
        <v/>
      </c>
      <c r="AQ22" s="20">
        <f>AQ21+AP22</f>
        <v/>
      </c>
      <c r="AR22" s="19">
        <f>AK22-AO22</f>
        <v/>
      </c>
      <c r="AS22" s="20">
        <f>AS21+AR22</f>
        <v/>
      </c>
      <c r="AT22" s="21">
        <f>IF(IF(Ipotesi!$B$15="margine",(AK22-AL22-AM22)/2,AP22)&gt;=Ipotesi!$B$14,AG22,"")</f>
        <v/>
      </c>
      <c r="AU22" s="21">
        <f>IF(AND(AG22&gt;1,AQ22&gt;=0),AG22,"")</f>
        <v/>
      </c>
    </row>
    <row r="23">
      <c r="A23" s="4" t="n">
        <v>6</v>
      </c>
      <c r="B23" s="4" t="n">
        <v>1</v>
      </c>
      <c r="C23" s="4">
        <f>ROUND(B$3*MIN(1,6/B$6)*Stagionalità!$B$9,0)</f>
        <v/>
      </c>
      <c r="D23" s="20">
        <f>C23*'Conti per prodotto'!$B$10</f>
        <v/>
      </c>
      <c r="E23" s="20">
        <f>C23*('Conti per prodotto'!$O$10+'Conti per prodotto'!$I$10)</f>
        <v/>
      </c>
      <c r="F23" s="20">
        <f>'Costi B2Brand'!$C$6</f>
        <v/>
      </c>
      <c r="G23" s="20">
        <f>B$7</f>
        <v/>
      </c>
      <c r="H23" s="20">
        <f>IF(Ipotesi!$B$15="margine",MAX(0,H22-(E22-F22-G22)),0)</f>
        <v/>
      </c>
      <c r="I23" s="20">
        <f>IF(Ipotesi!$B$15="margine",MIN(E23,F23+G23+H23+0.5*MAX(0,(E23-F23-G23)-H23)),C23*'Conti per prodotto'!$I$10)</f>
        <v/>
      </c>
      <c r="J23" s="19">
        <f>I23-F23-G23</f>
        <v/>
      </c>
      <c r="K23" s="20">
        <f>K22+J23</f>
        <v/>
      </c>
      <c r="L23" s="19">
        <f>E23-I23</f>
        <v/>
      </c>
      <c r="M23" s="20">
        <f>M22+L23</f>
        <v/>
      </c>
      <c r="N23" s="21">
        <f>IF(IF(Ipotesi!$B$15="margine",(E23-F23-G23)/2,J23)&gt;=Ipotesi!$B$14,A23,"")</f>
        <v/>
      </c>
      <c r="O23" s="21">
        <f>IF(AND(A23&gt;1,K23&gt;=0),A23,"")</f>
        <v/>
      </c>
      <c r="Q23" s="4" t="n">
        <v>6</v>
      </c>
      <c r="R23" s="4" t="n">
        <v>1</v>
      </c>
      <c r="S23" s="4">
        <f>ROUND(C$3*MIN(1,6/C$6)*Stagionalità!$B$9,0)</f>
        <v/>
      </c>
      <c r="T23" s="20">
        <f>S23*'Conti per prodotto'!$B$10</f>
        <v/>
      </c>
      <c r="U23" s="20">
        <f>S23*('Conti per prodotto'!$O$10+'Conti per prodotto'!$I$10)</f>
        <v/>
      </c>
      <c r="V23" s="20">
        <f>'Costi B2Brand'!$C$6</f>
        <v/>
      </c>
      <c r="W23" s="20">
        <f>C$7</f>
        <v/>
      </c>
      <c r="X23" s="20">
        <f>IF(Ipotesi!$B$15="margine",MAX(0,X22-(U22-V22-W22)),0)</f>
        <v/>
      </c>
      <c r="Y23" s="20">
        <f>IF(Ipotesi!$B$15="margine",MIN(U23,V23+W23+X23+0.5*MAX(0,(U23-V23-W23)-X23)),S23*'Conti per prodotto'!$I$10)</f>
        <v/>
      </c>
      <c r="Z23" s="19">
        <f>Y23-V23-W23</f>
        <v/>
      </c>
      <c r="AA23" s="20">
        <f>AA22+Z23</f>
        <v/>
      </c>
      <c r="AB23" s="19">
        <f>U23-Y23</f>
        <v/>
      </c>
      <c r="AC23" s="20">
        <f>AC22+AB23</f>
        <v/>
      </c>
      <c r="AD23" s="21">
        <f>IF(IF(Ipotesi!$B$15="margine",(U23-V23-W23)/2,Z23)&gt;=Ipotesi!$B$14,Q23,"")</f>
        <v/>
      </c>
      <c r="AE23" s="21">
        <f>IF(AND(Q23&gt;1,AA23&gt;=0),Q23,"")</f>
        <v/>
      </c>
      <c r="AG23" s="4" t="n">
        <v>6</v>
      </c>
      <c r="AH23" s="4" t="n">
        <v>1</v>
      </c>
      <c r="AI23" s="4">
        <f>ROUND(D$3*MIN(1,6/D$6)*Stagionalità!$B$9,0)</f>
        <v/>
      </c>
      <c r="AJ23" s="20">
        <f>AI23*'Conti per prodotto'!$B$10</f>
        <v/>
      </c>
      <c r="AK23" s="20">
        <f>AI23*('Conti per prodotto'!$O$10+'Conti per prodotto'!$I$10)</f>
        <v/>
      </c>
      <c r="AL23" s="20">
        <f>'Costi B2Brand'!$C$6</f>
        <v/>
      </c>
      <c r="AM23" s="20">
        <f>D$7</f>
        <v/>
      </c>
      <c r="AN23" s="20">
        <f>IF(Ipotesi!$B$15="margine",MAX(0,AN22-(AK22-AL22-AM22)),0)</f>
        <v/>
      </c>
      <c r="AO23" s="20">
        <f>IF(Ipotesi!$B$15="margine",MIN(AK23,AL23+AM23+AN23+0.5*MAX(0,(AK23-AL23-AM23)-AN23)),AI23*'Conti per prodotto'!$I$10)</f>
        <v/>
      </c>
      <c r="AP23" s="19">
        <f>AO23-AL23-AM23</f>
        <v/>
      </c>
      <c r="AQ23" s="20">
        <f>AQ22+AP23</f>
        <v/>
      </c>
      <c r="AR23" s="19">
        <f>AK23-AO23</f>
        <v/>
      </c>
      <c r="AS23" s="20">
        <f>AS22+AR23</f>
        <v/>
      </c>
      <c r="AT23" s="21">
        <f>IF(IF(Ipotesi!$B$15="margine",(AK23-AL23-AM23)/2,AP23)&gt;=Ipotesi!$B$14,AG23,"")</f>
        <v/>
      </c>
      <c r="AU23" s="21">
        <f>IF(AND(AG23&gt;1,AQ23&gt;=0),AG23,"")</f>
        <v/>
      </c>
    </row>
    <row r="24">
      <c r="A24" s="4" t="n">
        <v>7</v>
      </c>
      <c r="B24" s="4" t="n">
        <v>1</v>
      </c>
      <c r="C24" s="4">
        <f>ROUND(B$3*MIN(1,7/B$6)*Stagionalità!$B$10,0)</f>
        <v/>
      </c>
      <c r="D24" s="20">
        <f>C24*'Conti per prodotto'!$B$10</f>
        <v/>
      </c>
      <c r="E24" s="20">
        <f>C24*('Conti per prodotto'!$O$10+'Conti per prodotto'!$I$10)</f>
        <v/>
      </c>
      <c r="F24" s="20">
        <f>'Costi B2Brand'!$C$6</f>
        <v/>
      </c>
      <c r="G24" s="20">
        <f>B$7</f>
        <v/>
      </c>
      <c r="H24" s="20">
        <f>IF(Ipotesi!$B$15="margine",MAX(0,H23-(E23-F23-G23)),0)</f>
        <v/>
      </c>
      <c r="I24" s="20">
        <f>IF(Ipotesi!$B$15="margine",MIN(E24,F24+G24+H24+0.5*MAX(0,(E24-F24-G24)-H24)),C24*'Conti per prodotto'!$I$10)</f>
        <v/>
      </c>
      <c r="J24" s="19">
        <f>I24-F24-G24</f>
        <v/>
      </c>
      <c r="K24" s="20">
        <f>K23+J24</f>
        <v/>
      </c>
      <c r="L24" s="19">
        <f>E24-I24</f>
        <v/>
      </c>
      <c r="M24" s="20">
        <f>M23+L24</f>
        <v/>
      </c>
      <c r="N24" s="21">
        <f>IF(IF(Ipotesi!$B$15="margine",(E24-F24-G24)/2,J24)&gt;=Ipotesi!$B$14,A24,"")</f>
        <v/>
      </c>
      <c r="O24" s="21">
        <f>IF(AND(A24&gt;1,K24&gt;=0),A24,"")</f>
        <v/>
      </c>
      <c r="Q24" s="4" t="n">
        <v>7</v>
      </c>
      <c r="R24" s="4" t="n">
        <v>1</v>
      </c>
      <c r="S24" s="4">
        <f>ROUND(C$3*MIN(1,7/C$6)*Stagionalità!$B$10,0)</f>
        <v/>
      </c>
      <c r="T24" s="20">
        <f>S24*'Conti per prodotto'!$B$10</f>
        <v/>
      </c>
      <c r="U24" s="20">
        <f>S24*('Conti per prodotto'!$O$10+'Conti per prodotto'!$I$10)</f>
        <v/>
      </c>
      <c r="V24" s="20">
        <f>'Costi B2Brand'!$C$6</f>
        <v/>
      </c>
      <c r="W24" s="20">
        <f>C$7</f>
        <v/>
      </c>
      <c r="X24" s="20">
        <f>IF(Ipotesi!$B$15="margine",MAX(0,X23-(U23-V23-W23)),0)</f>
        <v/>
      </c>
      <c r="Y24" s="20">
        <f>IF(Ipotesi!$B$15="margine",MIN(U24,V24+W24+X24+0.5*MAX(0,(U24-V24-W24)-X24)),S24*'Conti per prodotto'!$I$10)</f>
        <v/>
      </c>
      <c r="Z24" s="19">
        <f>Y24-V24-W24</f>
        <v/>
      </c>
      <c r="AA24" s="20">
        <f>AA23+Z24</f>
        <v/>
      </c>
      <c r="AB24" s="19">
        <f>U24-Y24</f>
        <v/>
      </c>
      <c r="AC24" s="20">
        <f>AC23+AB24</f>
        <v/>
      </c>
      <c r="AD24" s="21">
        <f>IF(IF(Ipotesi!$B$15="margine",(U24-V24-W24)/2,Z24)&gt;=Ipotesi!$B$14,Q24,"")</f>
        <v/>
      </c>
      <c r="AE24" s="21">
        <f>IF(AND(Q24&gt;1,AA24&gt;=0),Q24,"")</f>
        <v/>
      </c>
      <c r="AG24" s="4" t="n">
        <v>7</v>
      </c>
      <c r="AH24" s="4" t="n">
        <v>1</v>
      </c>
      <c r="AI24" s="4">
        <f>ROUND(D$3*MIN(1,7/D$6)*Stagionalità!$B$10,0)</f>
        <v/>
      </c>
      <c r="AJ24" s="20">
        <f>AI24*'Conti per prodotto'!$B$10</f>
        <v/>
      </c>
      <c r="AK24" s="20">
        <f>AI24*('Conti per prodotto'!$O$10+'Conti per prodotto'!$I$10)</f>
        <v/>
      </c>
      <c r="AL24" s="20">
        <f>'Costi B2Brand'!$C$6</f>
        <v/>
      </c>
      <c r="AM24" s="20">
        <f>D$7</f>
        <v/>
      </c>
      <c r="AN24" s="20">
        <f>IF(Ipotesi!$B$15="margine",MAX(0,AN23-(AK23-AL23-AM23)),0)</f>
        <v/>
      </c>
      <c r="AO24" s="20">
        <f>IF(Ipotesi!$B$15="margine",MIN(AK24,AL24+AM24+AN24+0.5*MAX(0,(AK24-AL24-AM24)-AN24)),AI24*'Conti per prodotto'!$I$10)</f>
        <v/>
      </c>
      <c r="AP24" s="19">
        <f>AO24-AL24-AM24</f>
        <v/>
      </c>
      <c r="AQ24" s="20">
        <f>AQ23+AP24</f>
        <v/>
      </c>
      <c r="AR24" s="19">
        <f>AK24-AO24</f>
        <v/>
      </c>
      <c r="AS24" s="20">
        <f>AS23+AR24</f>
        <v/>
      </c>
      <c r="AT24" s="21">
        <f>IF(IF(Ipotesi!$B$15="margine",(AK24-AL24-AM24)/2,AP24)&gt;=Ipotesi!$B$14,AG24,"")</f>
        <v/>
      </c>
      <c r="AU24" s="21">
        <f>IF(AND(AG24&gt;1,AQ24&gt;=0),AG24,"")</f>
        <v/>
      </c>
    </row>
    <row r="25">
      <c r="A25" s="4" t="n">
        <v>8</v>
      </c>
      <c r="B25" s="4" t="n">
        <v>1</v>
      </c>
      <c r="C25" s="4">
        <f>ROUND(B$3*MIN(1,8/B$6)*Stagionalità!$B$11,0)</f>
        <v/>
      </c>
      <c r="D25" s="20">
        <f>C25*'Conti per prodotto'!$B$10</f>
        <v/>
      </c>
      <c r="E25" s="20">
        <f>C25*('Conti per prodotto'!$O$10+'Conti per prodotto'!$I$10)</f>
        <v/>
      </c>
      <c r="F25" s="20">
        <f>'Costi B2Brand'!$C$6</f>
        <v/>
      </c>
      <c r="G25" s="20">
        <f>B$7</f>
        <v/>
      </c>
      <c r="H25" s="20">
        <f>IF(Ipotesi!$B$15="margine",MAX(0,H24-(E24-F24-G24)),0)</f>
        <v/>
      </c>
      <c r="I25" s="20">
        <f>IF(Ipotesi!$B$15="margine",MIN(E25,F25+G25+H25+0.5*MAX(0,(E25-F25-G25)-H25)),C25*'Conti per prodotto'!$I$10)</f>
        <v/>
      </c>
      <c r="J25" s="19">
        <f>I25-F25-G25</f>
        <v/>
      </c>
      <c r="K25" s="20">
        <f>K24+J25</f>
        <v/>
      </c>
      <c r="L25" s="19">
        <f>E25-I25</f>
        <v/>
      </c>
      <c r="M25" s="20">
        <f>M24+L25</f>
        <v/>
      </c>
      <c r="N25" s="21">
        <f>IF(IF(Ipotesi!$B$15="margine",(E25-F25-G25)/2,J25)&gt;=Ipotesi!$B$14,A25,"")</f>
        <v/>
      </c>
      <c r="O25" s="21">
        <f>IF(AND(A25&gt;1,K25&gt;=0),A25,"")</f>
        <v/>
      </c>
      <c r="Q25" s="4" t="n">
        <v>8</v>
      </c>
      <c r="R25" s="4" t="n">
        <v>1</v>
      </c>
      <c r="S25" s="4">
        <f>ROUND(C$3*MIN(1,8/C$6)*Stagionalità!$B$11,0)</f>
        <v/>
      </c>
      <c r="T25" s="20">
        <f>S25*'Conti per prodotto'!$B$10</f>
        <v/>
      </c>
      <c r="U25" s="20">
        <f>S25*('Conti per prodotto'!$O$10+'Conti per prodotto'!$I$10)</f>
        <v/>
      </c>
      <c r="V25" s="20">
        <f>'Costi B2Brand'!$C$6</f>
        <v/>
      </c>
      <c r="W25" s="20">
        <f>C$7</f>
        <v/>
      </c>
      <c r="X25" s="20">
        <f>IF(Ipotesi!$B$15="margine",MAX(0,X24-(U24-V24-W24)),0)</f>
        <v/>
      </c>
      <c r="Y25" s="20">
        <f>IF(Ipotesi!$B$15="margine",MIN(U25,V25+W25+X25+0.5*MAX(0,(U25-V25-W25)-X25)),S25*'Conti per prodotto'!$I$10)</f>
        <v/>
      </c>
      <c r="Z25" s="19">
        <f>Y25-V25-W25</f>
        <v/>
      </c>
      <c r="AA25" s="20">
        <f>AA24+Z25</f>
        <v/>
      </c>
      <c r="AB25" s="19">
        <f>U25-Y25</f>
        <v/>
      </c>
      <c r="AC25" s="20">
        <f>AC24+AB25</f>
        <v/>
      </c>
      <c r="AD25" s="21">
        <f>IF(IF(Ipotesi!$B$15="margine",(U25-V25-W25)/2,Z25)&gt;=Ipotesi!$B$14,Q25,"")</f>
        <v/>
      </c>
      <c r="AE25" s="21">
        <f>IF(AND(Q25&gt;1,AA25&gt;=0),Q25,"")</f>
        <v/>
      </c>
      <c r="AG25" s="4" t="n">
        <v>8</v>
      </c>
      <c r="AH25" s="4" t="n">
        <v>1</v>
      </c>
      <c r="AI25" s="4">
        <f>ROUND(D$3*MIN(1,8/D$6)*Stagionalità!$B$11,0)</f>
        <v/>
      </c>
      <c r="AJ25" s="20">
        <f>AI25*'Conti per prodotto'!$B$10</f>
        <v/>
      </c>
      <c r="AK25" s="20">
        <f>AI25*('Conti per prodotto'!$O$10+'Conti per prodotto'!$I$10)</f>
        <v/>
      </c>
      <c r="AL25" s="20">
        <f>'Costi B2Brand'!$C$6</f>
        <v/>
      </c>
      <c r="AM25" s="20">
        <f>D$7</f>
        <v/>
      </c>
      <c r="AN25" s="20">
        <f>IF(Ipotesi!$B$15="margine",MAX(0,AN24-(AK24-AL24-AM24)),0)</f>
        <v/>
      </c>
      <c r="AO25" s="20">
        <f>IF(Ipotesi!$B$15="margine",MIN(AK25,AL25+AM25+AN25+0.5*MAX(0,(AK25-AL25-AM25)-AN25)),AI25*'Conti per prodotto'!$I$10)</f>
        <v/>
      </c>
      <c r="AP25" s="19">
        <f>AO25-AL25-AM25</f>
        <v/>
      </c>
      <c r="AQ25" s="20">
        <f>AQ24+AP25</f>
        <v/>
      </c>
      <c r="AR25" s="19">
        <f>AK25-AO25</f>
        <v/>
      </c>
      <c r="AS25" s="20">
        <f>AS24+AR25</f>
        <v/>
      </c>
      <c r="AT25" s="21">
        <f>IF(IF(Ipotesi!$B$15="margine",(AK25-AL25-AM25)/2,AP25)&gt;=Ipotesi!$B$14,AG25,"")</f>
        <v/>
      </c>
      <c r="AU25" s="21">
        <f>IF(AND(AG25&gt;1,AQ25&gt;=0),AG25,"")</f>
        <v/>
      </c>
    </row>
    <row r="26">
      <c r="A26" s="4" t="n">
        <v>9</v>
      </c>
      <c r="B26" s="4" t="n">
        <v>1</v>
      </c>
      <c r="C26" s="4">
        <f>ROUND(B$3*MIN(1,9/B$6)*Stagionalità!$B$12,0)</f>
        <v/>
      </c>
      <c r="D26" s="20">
        <f>C26*'Conti per prodotto'!$B$10</f>
        <v/>
      </c>
      <c r="E26" s="20">
        <f>C26*('Conti per prodotto'!$O$10+'Conti per prodotto'!$I$10)</f>
        <v/>
      </c>
      <c r="F26" s="20">
        <f>'Costi B2Brand'!$C$6</f>
        <v/>
      </c>
      <c r="G26" s="20">
        <f>B$7</f>
        <v/>
      </c>
      <c r="H26" s="20">
        <f>IF(Ipotesi!$B$15="margine",MAX(0,H25-(E25-F25-G25)),0)</f>
        <v/>
      </c>
      <c r="I26" s="20">
        <f>IF(Ipotesi!$B$15="margine",MIN(E26,F26+G26+H26+0.5*MAX(0,(E26-F26-G26)-H26)),C26*'Conti per prodotto'!$I$10)</f>
        <v/>
      </c>
      <c r="J26" s="19">
        <f>I26-F26-G26</f>
        <v/>
      </c>
      <c r="K26" s="20">
        <f>K25+J26</f>
        <v/>
      </c>
      <c r="L26" s="19">
        <f>E26-I26</f>
        <v/>
      </c>
      <c r="M26" s="20">
        <f>M25+L26</f>
        <v/>
      </c>
      <c r="N26" s="21">
        <f>IF(IF(Ipotesi!$B$15="margine",(E26-F26-G26)/2,J26)&gt;=Ipotesi!$B$14,A26,"")</f>
        <v/>
      </c>
      <c r="O26" s="21">
        <f>IF(AND(A26&gt;1,K26&gt;=0),A26,"")</f>
        <v/>
      </c>
      <c r="Q26" s="4" t="n">
        <v>9</v>
      </c>
      <c r="R26" s="4" t="n">
        <v>1</v>
      </c>
      <c r="S26" s="4">
        <f>ROUND(C$3*MIN(1,9/C$6)*Stagionalità!$B$12,0)</f>
        <v/>
      </c>
      <c r="T26" s="20">
        <f>S26*'Conti per prodotto'!$B$10</f>
        <v/>
      </c>
      <c r="U26" s="20">
        <f>S26*('Conti per prodotto'!$O$10+'Conti per prodotto'!$I$10)</f>
        <v/>
      </c>
      <c r="V26" s="20">
        <f>'Costi B2Brand'!$C$6</f>
        <v/>
      </c>
      <c r="W26" s="20">
        <f>C$7</f>
        <v/>
      </c>
      <c r="X26" s="20">
        <f>IF(Ipotesi!$B$15="margine",MAX(0,X25-(U25-V25-W25)),0)</f>
        <v/>
      </c>
      <c r="Y26" s="20">
        <f>IF(Ipotesi!$B$15="margine",MIN(U26,V26+W26+X26+0.5*MAX(0,(U26-V26-W26)-X26)),S26*'Conti per prodotto'!$I$10)</f>
        <v/>
      </c>
      <c r="Z26" s="19">
        <f>Y26-V26-W26</f>
        <v/>
      </c>
      <c r="AA26" s="20">
        <f>AA25+Z26</f>
        <v/>
      </c>
      <c r="AB26" s="19">
        <f>U26-Y26</f>
        <v/>
      </c>
      <c r="AC26" s="20">
        <f>AC25+AB26</f>
        <v/>
      </c>
      <c r="AD26" s="21">
        <f>IF(IF(Ipotesi!$B$15="margine",(U26-V26-W26)/2,Z26)&gt;=Ipotesi!$B$14,Q26,"")</f>
        <v/>
      </c>
      <c r="AE26" s="21">
        <f>IF(AND(Q26&gt;1,AA26&gt;=0),Q26,"")</f>
        <v/>
      </c>
      <c r="AG26" s="4" t="n">
        <v>9</v>
      </c>
      <c r="AH26" s="4" t="n">
        <v>1</v>
      </c>
      <c r="AI26" s="4">
        <f>ROUND(D$3*MIN(1,9/D$6)*Stagionalità!$B$12,0)</f>
        <v/>
      </c>
      <c r="AJ26" s="20">
        <f>AI26*'Conti per prodotto'!$B$10</f>
        <v/>
      </c>
      <c r="AK26" s="20">
        <f>AI26*('Conti per prodotto'!$O$10+'Conti per prodotto'!$I$10)</f>
        <v/>
      </c>
      <c r="AL26" s="20">
        <f>'Costi B2Brand'!$C$6</f>
        <v/>
      </c>
      <c r="AM26" s="20">
        <f>D$7</f>
        <v/>
      </c>
      <c r="AN26" s="20">
        <f>IF(Ipotesi!$B$15="margine",MAX(0,AN25-(AK25-AL25-AM25)),0)</f>
        <v/>
      </c>
      <c r="AO26" s="20">
        <f>IF(Ipotesi!$B$15="margine",MIN(AK26,AL26+AM26+AN26+0.5*MAX(0,(AK26-AL26-AM26)-AN26)),AI26*'Conti per prodotto'!$I$10)</f>
        <v/>
      </c>
      <c r="AP26" s="19">
        <f>AO26-AL26-AM26</f>
        <v/>
      </c>
      <c r="AQ26" s="20">
        <f>AQ25+AP26</f>
        <v/>
      </c>
      <c r="AR26" s="19">
        <f>AK26-AO26</f>
        <v/>
      </c>
      <c r="AS26" s="20">
        <f>AS25+AR26</f>
        <v/>
      </c>
      <c r="AT26" s="21">
        <f>IF(IF(Ipotesi!$B$15="margine",(AK26-AL26-AM26)/2,AP26)&gt;=Ipotesi!$B$14,AG26,"")</f>
        <v/>
      </c>
      <c r="AU26" s="21">
        <f>IF(AND(AG26&gt;1,AQ26&gt;=0),AG26,"")</f>
        <v/>
      </c>
    </row>
    <row r="27">
      <c r="A27" s="4" t="n">
        <v>10</v>
      </c>
      <c r="B27" s="4" t="n">
        <v>1</v>
      </c>
      <c r="C27" s="4">
        <f>ROUND(B$3*MIN(1,10/B$6)*Stagionalità!$B$13,0)</f>
        <v/>
      </c>
      <c r="D27" s="20">
        <f>C27*'Conti per prodotto'!$B$10</f>
        <v/>
      </c>
      <c r="E27" s="20">
        <f>C27*('Conti per prodotto'!$O$10+'Conti per prodotto'!$I$10)</f>
        <v/>
      </c>
      <c r="F27" s="20">
        <f>'Costi B2Brand'!$C$6</f>
        <v/>
      </c>
      <c r="G27" s="20">
        <f>B$7</f>
        <v/>
      </c>
      <c r="H27" s="20">
        <f>IF(Ipotesi!$B$15="margine",MAX(0,H26-(E26-F26-G26)),0)</f>
        <v/>
      </c>
      <c r="I27" s="20">
        <f>IF(Ipotesi!$B$15="margine",MIN(E27,F27+G27+H27+0.5*MAX(0,(E27-F27-G27)-H27)),C27*'Conti per prodotto'!$I$10)</f>
        <v/>
      </c>
      <c r="J27" s="19">
        <f>I27-F27-G27</f>
        <v/>
      </c>
      <c r="K27" s="20">
        <f>K26+J27</f>
        <v/>
      </c>
      <c r="L27" s="19">
        <f>E27-I27</f>
        <v/>
      </c>
      <c r="M27" s="20">
        <f>M26+L27</f>
        <v/>
      </c>
      <c r="N27" s="21">
        <f>IF(IF(Ipotesi!$B$15="margine",(E27-F27-G27)/2,J27)&gt;=Ipotesi!$B$14,A27,"")</f>
        <v/>
      </c>
      <c r="O27" s="21">
        <f>IF(AND(A27&gt;1,K27&gt;=0),A27,"")</f>
        <v/>
      </c>
      <c r="Q27" s="4" t="n">
        <v>10</v>
      </c>
      <c r="R27" s="4" t="n">
        <v>1</v>
      </c>
      <c r="S27" s="4">
        <f>ROUND(C$3*MIN(1,10/C$6)*Stagionalità!$B$13,0)</f>
        <v/>
      </c>
      <c r="T27" s="20">
        <f>S27*'Conti per prodotto'!$B$10</f>
        <v/>
      </c>
      <c r="U27" s="20">
        <f>S27*('Conti per prodotto'!$O$10+'Conti per prodotto'!$I$10)</f>
        <v/>
      </c>
      <c r="V27" s="20">
        <f>'Costi B2Brand'!$C$6</f>
        <v/>
      </c>
      <c r="W27" s="20">
        <f>C$7</f>
        <v/>
      </c>
      <c r="X27" s="20">
        <f>IF(Ipotesi!$B$15="margine",MAX(0,X26-(U26-V26-W26)),0)</f>
        <v/>
      </c>
      <c r="Y27" s="20">
        <f>IF(Ipotesi!$B$15="margine",MIN(U27,V27+W27+X27+0.5*MAX(0,(U27-V27-W27)-X27)),S27*'Conti per prodotto'!$I$10)</f>
        <v/>
      </c>
      <c r="Z27" s="19">
        <f>Y27-V27-W27</f>
        <v/>
      </c>
      <c r="AA27" s="20">
        <f>AA26+Z27</f>
        <v/>
      </c>
      <c r="AB27" s="19">
        <f>U27-Y27</f>
        <v/>
      </c>
      <c r="AC27" s="20">
        <f>AC26+AB27</f>
        <v/>
      </c>
      <c r="AD27" s="21">
        <f>IF(IF(Ipotesi!$B$15="margine",(U27-V27-W27)/2,Z27)&gt;=Ipotesi!$B$14,Q27,"")</f>
        <v/>
      </c>
      <c r="AE27" s="21">
        <f>IF(AND(Q27&gt;1,AA27&gt;=0),Q27,"")</f>
        <v/>
      </c>
      <c r="AG27" s="4" t="n">
        <v>10</v>
      </c>
      <c r="AH27" s="4" t="n">
        <v>1</v>
      </c>
      <c r="AI27" s="4">
        <f>ROUND(D$3*MIN(1,10/D$6)*Stagionalità!$B$13,0)</f>
        <v/>
      </c>
      <c r="AJ27" s="20">
        <f>AI27*'Conti per prodotto'!$B$10</f>
        <v/>
      </c>
      <c r="AK27" s="20">
        <f>AI27*('Conti per prodotto'!$O$10+'Conti per prodotto'!$I$10)</f>
        <v/>
      </c>
      <c r="AL27" s="20">
        <f>'Costi B2Brand'!$C$6</f>
        <v/>
      </c>
      <c r="AM27" s="20">
        <f>D$7</f>
        <v/>
      </c>
      <c r="AN27" s="20">
        <f>IF(Ipotesi!$B$15="margine",MAX(0,AN26-(AK26-AL26-AM26)),0)</f>
        <v/>
      </c>
      <c r="AO27" s="20">
        <f>IF(Ipotesi!$B$15="margine",MIN(AK27,AL27+AM27+AN27+0.5*MAX(0,(AK27-AL27-AM27)-AN27)),AI27*'Conti per prodotto'!$I$10)</f>
        <v/>
      </c>
      <c r="AP27" s="19">
        <f>AO27-AL27-AM27</f>
        <v/>
      </c>
      <c r="AQ27" s="20">
        <f>AQ26+AP27</f>
        <v/>
      </c>
      <c r="AR27" s="19">
        <f>AK27-AO27</f>
        <v/>
      </c>
      <c r="AS27" s="20">
        <f>AS26+AR27</f>
        <v/>
      </c>
      <c r="AT27" s="21">
        <f>IF(IF(Ipotesi!$B$15="margine",(AK27-AL27-AM27)/2,AP27)&gt;=Ipotesi!$B$14,AG27,"")</f>
        <v/>
      </c>
      <c r="AU27" s="21">
        <f>IF(AND(AG27&gt;1,AQ27&gt;=0),AG27,"")</f>
        <v/>
      </c>
    </row>
    <row r="28">
      <c r="A28" s="4" t="n">
        <v>11</v>
      </c>
      <c r="B28" s="4" t="n">
        <v>1</v>
      </c>
      <c r="C28" s="4">
        <f>ROUND(B$3*MIN(1,11/B$6)*Stagionalità!$B$2,0)</f>
        <v/>
      </c>
      <c r="D28" s="20">
        <f>C28*'Conti per prodotto'!$B$10</f>
        <v/>
      </c>
      <c r="E28" s="20">
        <f>C28*('Conti per prodotto'!$O$10+'Conti per prodotto'!$I$10)</f>
        <v/>
      </c>
      <c r="F28" s="20">
        <f>'Costi B2Brand'!$C$6</f>
        <v/>
      </c>
      <c r="G28" s="20">
        <f>B$7</f>
        <v/>
      </c>
      <c r="H28" s="20">
        <f>IF(Ipotesi!$B$15="margine",MAX(0,H27-(E27-F27-G27)),0)</f>
        <v/>
      </c>
      <c r="I28" s="20">
        <f>IF(Ipotesi!$B$15="margine",MIN(E28,F28+G28+H28+0.5*MAX(0,(E28-F28-G28)-H28)),C28*'Conti per prodotto'!$I$10)</f>
        <v/>
      </c>
      <c r="J28" s="19">
        <f>I28-F28-G28</f>
        <v/>
      </c>
      <c r="K28" s="20">
        <f>K27+J28</f>
        <v/>
      </c>
      <c r="L28" s="19">
        <f>E28-I28</f>
        <v/>
      </c>
      <c r="M28" s="20">
        <f>M27+L28</f>
        <v/>
      </c>
      <c r="N28" s="21">
        <f>IF(IF(Ipotesi!$B$15="margine",(E28-F28-G28)/2,J28)&gt;=Ipotesi!$B$14,A28,"")</f>
        <v/>
      </c>
      <c r="O28" s="21">
        <f>IF(AND(A28&gt;1,K28&gt;=0),A28,"")</f>
        <v/>
      </c>
      <c r="Q28" s="4" t="n">
        <v>11</v>
      </c>
      <c r="R28" s="4" t="n">
        <v>1</v>
      </c>
      <c r="S28" s="4">
        <f>ROUND(C$3*MIN(1,11/C$6)*Stagionalità!$B$2,0)</f>
        <v/>
      </c>
      <c r="T28" s="20">
        <f>S28*'Conti per prodotto'!$B$10</f>
        <v/>
      </c>
      <c r="U28" s="20">
        <f>S28*('Conti per prodotto'!$O$10+'Conti per prodotto'!$I$10)</f>
        <v/>
      </c>
      <c r="V28" s="20">
        <f>'Costi B2Brand'!$C$6</f>
        <v/>
      </c>
      <c r="W28" s="20">
        <f>C$7</f>
        <v/>
      </c>
      <c r="X28" s="20">
        <f>IF(Ipotesi!$B$15="margine",MAX(0,X27-(U27-V27-W27)),0)</f>
        <v/>
      </c>
      <c r="Y28" s="20">
        <f>IF(Ipotesi!$B$15="margine",MIN(U28,V28+W28+X28+0.5*MAX(0,(U28-V28-W28)-X28)),S28*'Conti per prodotto'!$I$10)</f>
        <v/>
      </c>
      <c r="Z28" s="19">
        <f>Y28-V28-W28</f>
        <v/>
      </c>
      <c r="AA28" s="20">
        <f>AA27+Z28</f>
        <v/>
      </c>
      <c r="AB28" s="19">
        <f>U28-Y28</f>
        <v/>
      </c>
      <c r="AC28" s="20">
        <f>AC27+AB28</f>
        <v/>
      </c>
      <c r="AD28" s="21">
        <f>IF(IF(Ipotesi!$B$15="margine",(U28-V28-W28)/2,Z28)&gt;=Ipotesi!$B$14,Q28,"")</f>
        <v/>
      </c>
      <c r="AE28" s="21">
        <f>IF(AND(Q28&gt;1,AA28&gt;=0),Q28,"")</f>
        <v/>
      </c>
      <c r="AG28" s="4" t="n">
        <v>11</v>
      </c>
      <c r="AH28" s="4" t="n">
        <v>1</v>
      </c>
      <c r="AI28" s="4">
        <f>ROUND(D$3*MIN(1,11/D$6)*Stagionalità!$B$2,0)</f>
        <v/>
      </c>
      <c r="AJ28" s="20">
        <f>AI28*'Conti per prodotto'!$B$10</f>
        <v/>
      </c>
      <c r="AK28" s="20">
        <f>AI28*('Conti per prodotto'!$O$10+'Conti per prodotto'!$I$10)</f>
        <v/>
      </c>
      <c r="AL28" s="20">
        <f>'Costi B2Brand'!$C$6</f>
        <v/>
      </c>
      <c r="AM28" s="20">
        <f>D$7</f>
        <v/>
      </c>
      <c r="AN28" s="20">
        <f>IF(Ipotesi!$B$15="margine",MAX(0,AN27-(AK27-AL27-AM27)),0)</f>
        <v/>
      </c>
      <c r="AO28" s="20">
        <f>IF(Ipotesi!$B$15="margine",MIN(AK28,AL28+AM28+AN28+0.5*MAX(0,(AK28-AL28-AM28)-AN28)),AI28*'Conti per prodotto'!$I$10)</f>
        <v/>
      </c>
      <c r="AP28" s="19">
        <f>AO28-AL28-AM28</f>
        <v/>
      </c>
      <c r="AQ28" s="20">
        <f>AQ27+AP28</f>
        <v/>
      </c>
      <c r="AR28" s="19">
        <f>AK28-AO28</f>
        <v/>
      </c>
      <c r="AS28" s="20">
        <f>AS27+AR28</f>
        <v/>
      </c>
      <c r="AT28" s="21">
        <f>IF(IF(Ipotesi!$B$15="margine",(AK28-AL28-AM28)/2,AP28)&gt;=Ipotesi!$B$14,AG28,"")</f>
        <v/>
      </c>
      <c r="AU28" s="21">
        <f>IF(AND(AG28&gt;1,AQ28&gt;=0),AG28,"")</f>
        <v/>
      </c>
    </row>
    <row r="29">
      <c r="A29" s="4" t="n">
        <v>12</v>
      </c>
      <c r="B29" s="4" t="n">
        <v>1</v>
      </c>
      <c r="C29" s="4">
        <f>ROUND(B$3*MIN(1,12/B$6)*Stagionalità!$B$3,0)</f>
        <v/>
      </c>
      <c r="D29" s="20">
        <f>C29*'Conti per prodotto'!$B$10</f>
        <v/>
      </c>
      <c r="E29" s="20">
        <f>C29*('Conti per prodotto'!$O$10+'Conti per prodotto'!$I$10)</f>
        <v/>
      </c>
      <c r="F29" s="20">
        <f>'Costi B2Brand'!$C$6</f>
        <v/>
      </c>
      <c r="G29" s="20">
        <f>B$7</f>
        <v/>
      </c>
      <c r="H29" s="20">
        <f>IF(Ipotesi!$B$15="margine",MAX(0,H28-(E28-F28-G28)),0)</f>
        <v/>
      </c>
      <c r="I29" s="20">
        <f>IF(Ipotesi!$B$15="margine",MIN(E29,F29+G29+H29+0.5*MAX(0,(E29-F29-G29)-H29)),C29*'Conti per prodotto'!$I$10)</f>
        <v/>
      </c>
      <c r="J29" s="19">
        <f>I29-F29-G29</f>
        <v/>
      </c>
      <c r="K29" s="20">
        <f>K28+J29</f>
        <v/>
      </c>
      <c r="L29" s="19">
        <f>E29-I29</f>
        <v/>
      </c>
      <c r="M29" s="20">
        <f>M28+L29</f>
        <v/>
      </c>
      <c r="N29" s="21">
        <f>IF(IF(Ipotesi!$B$15="margine",(E29-F29-G29)/2,J29)&gt;=Ipotesi!$B$14,A29,"")</f>
        <v/>
      </c>
      <c r="O29" s="21">
        <f>IF(AND(A29&gt;1,K29&gt;=0),A29,"")</f>
        <v/>
      </c>
      <c r="Q29" s="4" t="n">
        <v>12</v>
      </c>
      <c r="R29" s="4" t="n">
        <v>1</v>
      </c>
      <c r="S29" s="4">
        <f>ROUND(C$3*MIN(1,12/C$6)*Stagionalità!$B$3,0)</f>
        <v/>
      </c>
      <c r="T29" s="20">
        <f>S29*'Conti per prodotto'!$B$10</f>
        <v/>
      </c>
      <c r="U29" s="20">
        <f>S29*('Conti per prodotto'!$O$10+'Conti per prodotto'!$I$10)</f>
        <v/>
      </c>
      <c r="V29" s="20">
        <f>'Costi B2Brand'!$C$6</f>
        <v/>
      </c>
      <c r="W29" s="20">
        <f>C$7</f>
        <v/>
      </c>
      <c r="X29" s="20">
        <f>IF(Ipotesi!$B$15="margine",MAX(0,X28-(U28-V28-W28)),0)</f>
        <v/>
      </c>
      <c r="Y29" s="20">
        <f>IF(Ipotesi!$B$15="margine",MIN(U29,V29+W29+X29+0.5*MAX(0,(U29-V29-W29)-X29)),S29*'Conti per prodotto'!$I$10)</f>
        <v/>
      </c>
      <c r="Z29" s="19">
        <f>Y29-V29-W29</f>
        <v/>
      </c>
      <c r="AA29" s="20">
        <f>AA28+Z29</f>
        <v/>
      </c>
      <c r="AB29" s="19">
        <f>U29-Y29</f>
        <v/>
      </c>
      <c r="AC29" s="20">
        <f>AC28+AB29</f>
        <v/>
      </c>
      <c r="AD29" s="21">
        <f>IF(IF(Ipotesi!$B$15="margine",(U29-V29-W29)/2,Z29)&gt;=Ipotesi!$B$14,Q29,"")</f>
        <v/>
      </c>
      <c r="AE29" s="21">
        <f>IF(AND(Q29&gt;1,AA29&gt;=0),Q29,"")</f>
        <v/>
      </c>
      <c r="AG29" s="4" t="n">
        <v>12</v>
      </c>
      <c r="AH29" s="4" t="n">
        <v>1</v>
      </c>
      <c r="AI29" s="4">
        <f>ROUND(D$3*MIN(1,12/D$6)*Stagionalità!$B$3,0)</f>
        <v/>
      </c>
      <c r="AJ29" s="20">
        <f>AI29*'Conti per prodotto'!$B$10</f>
        <v/>
      </c>
      <c r="AK29" s="20">
        <f>AI29*('Conti per prodotto'!$O$10+'Conti per prodotto'!$I$10)</f>
        <v/>
      </c>
      <c r="AL29" s="20">
        <f>'Costi B2Brand'!$C$6</f>
        <v/>
      </c>
      <c r="AM29" s="20">
        <f>D$7</f>
        <v/>
      </c>
      <c r="AN29" s="20">
        <f>IF(Ipotesi!$B$15="margine",MAX(0,AN28-(AK28-AL28-AM28)),0)</f>
        <v/>
      </c>
      <c r="AO29" s="20">
        <f>IF(Ipotesi!$B$15="margine",MIN(AK29,AL29+AM29+AN29+0.5*MAX(0,(AK29-AL29-AM29)-AN29)),AI29*'Conti per prodotto'!$I$10)</f>
        <v/>
      </c>
      <c r="AP29" s="19">
        <f>AO29-AL29-AM29</f>
        <v/>
      </c>
      <c r="AQ29" s="20">
        <f>AQ28+AP29</f>
        <v/>
      </c>
      <c r="AR29" s="19">
        <f>AK29-AO29</f>
        <v/>
      </c>
      <c r="AS29" s="20">
        <f>AS28+AR29</f>
        <v/>
      </c>
      <c r="AT29" s="21">
        <f>IF(IF(Ipotesi!$B$15="margine",(AK29-AL29-AM29)/2,AP29)&gt;=Ipotesi!$B$14,AG29,"")</f>
        <v/>
      </c>
      <c r="AU29" s="21">
        <f>IF(AND(AG29&gt;1,AQ29&gt;=0),AG29,"")</f>
        <v/>
      </c>
    </row>
    <row r="30">
      <c r="A30" s="4" t="n">
        <v>13</v>
      </c>
      <c r="B30" s="4" t="n">
        <v>2</v>
      </c>
      <c r="C30" s="4">
        <f>ROUND((B$3+(B$13-B$3)*1/12)*Stagionalità!$B$4,0)</f>
        <v/>
      </c>
      <c r="D30" s="20">
        <f>C30*'Conti per prodotto'!$B$10</f>
        <v/>
      </c>
      <c r="E30" s="20">
        <f>C30*('Conti per prodotto'!$O$10+'Conti per prodotto'!$I$10)</f>
        <v/>
      </c>
      <c r="F30" s="20">
        <f>'Costi B2Brand'!$D$6</f>
        <v/>
      </c>
      <c r="G30" s="20">
        <f>B$8</f>
        <v/>
      </c>
      <c r="H30" s="20">
        <f>IF(Ipotesi!$B$15="margine",MAX(0,H29-(E29-F29-G29)),0)</f>
        <v/>
      </c>
      <c r="I30" s="20">
        <f>IF(Ipotesi!$B$15="margine",MIN(E30,F30+G30+H30+0.5*MAX(0,(E30-F30-G30)-H30)),C30*'Conti per prodotto'!$I$10)</f>
        <v/>
      </c>
      <c r="J30" s="19">
        <f>I30-F30-G30</f>
        <v/>
      </c>
      <c r="K30" s="20">
        <f>K29+J30</f>
        <v/>
      </c>
      <c r="L30" s="19">
        <f>E30-I30</f>
        <v/>
      </c>
      <c r="M30" s="20">
        <f>M29+L30</f>
        <v/>
      </c>
      <c r="N30" s="21">
        <f>IF(IF(Ipotesi!$B$15="margine",(E30-F30-G30)/2,J30)&gt;=Ipotesi!$B$14,A30,"")</f>
        <v/>
      </c>
      <c r="O30" s="21">
        <f>IF(AND(A30&gt;1,K30&gt;=0),A30,"")</f>
        <v/>
      </c>
      <c r="Q30" s="4" t="n">
        <v>13</v>
      </c>
      <c r="R30" s="4" t="n">
        <v>2</v>
      </c>
      <c r="S30" s="4">
        <f>ROUND((C$3+(C$13-C$3)*1/12)*Stagionalità!$B$4,0)</f>
        <v/>
      </c>
      <c r="T30" s="20">
        <f>S30*'Conti per prodotto'!$B$10</f>
        <v/>
      </c>
      <c r="U30" s="20">
        <f>S30*('Conti per prodotto'!$O$10+'Conti per prodotto'!$I$10)</f>
        <v/>
      </c>
      <c r="V30" s="20">
        <f>'Costi B2Brand'!$D$6</f>
        <v/>
      </c>
      <c r="W30" s="20">
        <f>C$8</f>
        <v/>
      </c>
      <c r="X30" s="20">
        <f>IF(Ipotesi!$B$15="margine",MAX(0,X29-(U29-V29-W29)),0)</f>
        <v/>
      </c>
      <c r="Y30" s="20">
        <f>IF(Ipotesi!$B$15="margine",MIN(U30,V30+W30+X30+0.5*MAX(0,(U30-V30-W30)-X30)),S30*'Conti per prodotto'!$I$10)</f>
        <v/>
      </c>
      <c r="Z30" s="19">
        <f>Y30-V30-W30</f>
        <v/>
      </c>
      <c r="AA30" s="20">
        <f>AA29+Z30</f>
        <v/>
      </c>
      <c r="AB30" s="19">
        <f>U30-Y30</f>
        <v/>
      </c>
      <c r="AC30" s="20">
        <f>AC29+AB30</f>
        <v/>
      </c>
      <c r="AD30" s="21">
        <f>IF(IF(Ipotesi!$B$15="margine",(U30-V30-W30)/2,Z30)&gt;=Ipotesi!$B$14,Q30,"")</f>
        <v/>
      </c>
      <c r="AE30" s="21">
        <f>IF(AND(Q30&gt;1,AA30&gt;=0),Q30,"")</f>
        <v/>
      </c>
      <c r="AG30" s="4" t="n">
        <v>13</v>
      </c>
      <c r="AH30" s="4" t="n">
        <v>2</v>
      </c>
      <c r="AI30" s="4">
        <f>ROUND((D$3+(D$13-D$3)*1/12)*Stagionalità!$B$4,0)</f>
        <v/>
      </c>
      <c r="AJ30" s="20">
        <f>AI30*'Conti per prodotto'!$B$10</f>
        <v/>
      </c>
      <c r="AK30" s="20">
        <f>AI30*('Conti per prodotto'!$O$10+'Conti per prodotto'!$I$10)</f>
        <v/>
      </c>
      <c r="AL30" s="20">
        <f>'Costi B2Brand'!$D$6</f>
        <v/>
      </c>
      <c r="AM30" s="20">
        <f>D$8</f>
        <v/>
      </c>
      <c r="AN30" s="20">
        <f>IF(Ipotesi!$B$15="margine",MAX(0,AN29-(AK29-AL29-AM29)),0)</f>
        <v/>
      </c>
      <c r="AO30" s="20">
        <f>IF(Ipotesi!$B$15="margine",MIN(AK30,AL30+AM30+AN30+0.5*MAX(0,(AK30-AL30-AM30)-AN30)),AI30*'Conti per prodotto'!$I$10)</f>
        <v/>
      </c>
      <c r="AP30" s="19">
        <f>AO30-AL30-AM30</f>
        <v/>
      </c>
      <c r="AQ30" s="20">
        <f>AQ29+AP30</f>
        <v/>
      </c>
      <c r="AR30" s="19">
        <f>AK30-AO30</f>
        <v/>
      </c>
      <c r="AS30" s="20">
        <f>AS29+AR30</f>
        <v/>
      </c>
      <c r="AT30" s="21">
        <f>IF(IF(Ipotesi!$B$15="margine",(AK30-AL30-AM30)/2,AP30)&gt;=Ipotesi!$B$14,AG30,"")</f>
        <v/>
      </c>
      <c r="AU30" s="21">
        <f>IF(AND(AG30&gt;1,AQ30&gt;=0),AG30,"")</f>
        <v/>
      </c>
    </row>
    <row r="31">
      <c r="A31" s="4" t="n">
        <v>14</v>
      </c>
      <c r="B31" s="4" t="n">
        <v>2</v>
      </c>
      <c r="C31" s="4">
        <f>ROUND((B$3+(B$13-B$3)*2/12)*Stagionalità!$B$5,0)</f>
        <v/>
      </c>
      <c r="D31" s="20">
        <f>C31*'Conti per prodotto'!$B$10</f>
        <v/>
      </c>
      <c r="E31" s="20">
        <f>C31*('Conti per prodotto'!$O$10+'Conti per prodotto'!$I$10)</f>
        <v/>
      </c>
      <c r="F31" s="20">
        <f>'Costi B2Brand'!$D$6</f>
        <v/>
      </c>
      <c r="G31" s="20">
        <f>B$8</f>
        <v/>
      </c>
      <c r="H31" s="20">
        <f>IF(Ipotesi!$B$15="margine",MAX(0,H30-(E30-F30-G30)),0)</f>
        <v/>
      </c>
      <c r="I31" s="20">
        <f>IF(Ipotesi!$B$15="margine",MIN(E31,F31+G31+H31+0.5*MAX(0,(E31-F31-G31)-H31)),C31*'Conti per prodotto'!$I$10)</f>
        <v/>
      </c>
      <c r="J31" s="19">
        <f>I31-F31-G31</f>
        <v/>
      </c>
      <c r="K31" s="20">
        <f>K30+J31</f>
        <v/>
      </c>
      <c r="L31" s="19">
        <f>E31-I31</f>
        <v/>
      </c>
      <c r="M31" s="20">
        <f>M30+L31</f>
        <v/>
      </c>
      <c r="N31" s="21">
        <f>IF(IF(Ipotesi!$B$15="margine",(E31-F31-G31)/2,J31)&gt;=Ipotesi!$B$14,A31,"")</f>
        <v/>
      </c>
      <c r="O31" s="21">
        <f>IF(AND(A31&gt;1,K31&gt;=0),A31,"")</f>
        <v/>
      </c>
      <c r="Q31" s="4" t="n">
        <v>14</v>
      </c>
      <c r="R31" s="4" t="n">
        <v>2</v>
      </c>
      <c r="S31" s="4">
        <f>ROUND((C$3+(C$13-C$3)*2/12)*Stagionalità!$B$5,0)</f>
        <v/>
      </c>
      <c r="T31" s="20">
        <f>S31*'Conti per prodotto'!$B$10</f>
        <v/>
      </c>
      <c r="U31" s="20">
        <f>S31*('Conti per prodotto'!$O$10+'Conti per prodotto'!$I$10)</f>
        <v/>
      </c>
      <c r="V31" s="20">
        <f>'Costi B2Brand'!$D$6</f>
        <v/>
      </c>
      <c r="W31" s="20">
        <f>C$8</f>
        <v/>
      </c>
      <c r="X31" s="20">
        <f>IF(Ipotesi!$B$15="margine",MAX(0,X30-(U30-V30-W30)),0)</f>
        <v/>
      </c>
      <c r="Y31" s="20">
        <f>IF(Ipotesi!$B$15="margine",MIN(U31,V31+W31+X31+0.5*MAX(0,(U31-V31-W31)-X31)),S31*'Conti per prodotto'!$I$10)</f>
        <v/>
      </c>
      <c r="Z31" s="19">
        <f>Y31-V31-W31</f>
        <v/>
      </c>
      <c r="AA31" s="20">
        <f>AA30+Z31</f>
        <v/>
      </c>
      <c r="AB31" s="19">
        <f>U31-Y31</f>
        <v/>
      </c>
      <c r="AC31" s="20">
        <f>AC30+AB31</f>
        <v/>
      </c>
      <c r="AD31" s="21">
        <f>IF(IF(Ipotesi!$B$15="margine",(U31-V31-W31)/2,Z31)&gt;=Ipotesi!$B$14,Q31,"")</f>
        <v/>
      </c>
      <c r="AE31" s="21">
        <f>IF(AND(Q31&gt;1,AA31&gt;=0),Q31,"")</f>
        <v/>
      </c>
      <c r="AG31" s="4" t="n">
        <v>14</v>
      </c>
      <c r="AH31" s="4" t="n">
        <v>2</v>
      </c>
      <c r="AI31" s="4">
        <f>ROUND((D$3+(D$13-D$3)*2/12)*Stagionalità!$B$5,0)</f>
        <v/>
      </c>
      <c r="AJ31" s="20">
        <f>AI31*'Conti per prodotto'!$B$10</f>
        <v/>
      </c>
      <c r="AK31" s="20">
        <f>AI31*('Conti per prodotto'!$O$10+'Conti per prodotto'!$I$10)</f>
        <v/>
      </c>
      <c r="AL31" s="20">
        <f>'Costi B2Brand'!$D$6</f>
        <v/>
      </c>
      <c r="AM31" s="20">
        <f>D$8</f>
        <v/>
      </c>
      <c r="AN31" s="20">
        <f>IF(Ipotesi!$B$15="margine",MAX(0,AN30-(AK30-AL30-AM30)),0)</f>
        <v/>
      </c>
      <c r="AO31" s="20">
        <f>IF(Ipotesi!$B$15="margine",MIN(AK31,AL31+AM31+AN31+0.5*MAX(0,(AK31-AL31-AM31)-AN31)),AI31*'Conti per prodotto'!$I$10)</f>
        <v/>
      </c>
      <c r="AP31" s="19">
        <f>AO31-AL31-AM31</f>
        <v/>
      </c>
      <c r="AQ31" s="20">
        <f>AQ30+AP31</f>
        <v/>
      </c>
      <c r="AR31" s="19">
        <f>AK31-AO31</f>
        <v/>
      </c>
      <c r="AS31" s="20">
        <f>AS30+AR31</f>
        <v/>
      </c>
      <c r="AT31" s="21">
        <f>IF(IF(Ipotesi!$B$15="margine",(AK31-AL31-AM31)/2,AP31)&gt;=Ipotesi!$B$14,AG31,"")</f>
        <v/>
      </c>
      <c r="AU31" s="21">
        <f>IF(AND(AG31&gt;1,AQ31&gt;=0),AG31,"")</f>
        <v/>
      </c>
    </row>
    <row r="32">
      <c r="A32" s="4" t="n">
        <v>15</v>
      </c>
      <c r="B32" s="4" t="n">
        <v>2</v>
      </c>
      <c r="C32" s="4">
        <f>ROUND((B$3+(B$13-B$3)*3/12)*Stagionalità!$B$6,0)</f>
        <v/>
      </c>
      <c r="D32" s="20">
        <f>C32*'Conti per prodotto'!$B$10</f>
        <v/>
      </c>
      <c r="E32" s="20">
        <f>C32*('Conti per prodotto'!$O$10+'Conti per prodotto'!$I$10)</f>
        <v/>
      </c>
      <c r="F32" s="20">
        <f>'Costi B2Brand'!$D$6</f>
        <v/>
      </c>
      <c r="G32" s="20">
        <f>B$8</f>
        <v/>
      </c>
      <c r="H32" s="20">
        <f>IF(Ipotesi!$B$15="margine",MAX(0,H31-(E31-F31-G31)),0)</f>
        <v/>
      </c>
      <c r="I32" s="20">
        <f>IF(Ipotesi!$B$15="margine",MIN(E32,F32+G32+H32+0.5*MAX(0,(E32-F32-G32)-H32)),C32*'Conti per prodotto'!$I$10)</f>
        <v/>
      </c>
      <c r="J32" s="19">
        <f>I32-F32-G32</f>
        <v/>
      </c>
      <c r="K32" s="20">
        <f>K31+J32</f>
        <v/>
      </c>
      <c r="L32" s="19">
        <f>E32-I32</f>
        <v/>
      </c>
      <c r="M32" s="20">
        <f>M31+L32</f>
        <v/>
      </c>
      <c r="N32" s="21">
        <f>IF(IF(Ipotesi!$B$15="margine",(E32-F32-G32)/2,J32)&gt;=Ipotesi!$B$14,A32,"")</f>
        <v/>
      </c>
      <c r="O32" s="21">
        <f>IF(AND(A32&gt;1,K32&gt;=0),A32,"")</f>
        <v/>
      </c>
      <c r="Q32" s="4" t="n">
        <v>15</v>
      </c>
      <c r="R32" s="4" t="n">
        <v>2</v>
      </c>
      <c r="S32" s="4">
        <f>ROUND((C$3+(C$13-C$3)*3/12)*Stagionalità!$B$6,0)</f>
        <v/>
      </c>
      <c r="T32" s="20">
        <f>S32*'Conti per prodotto'!$B$10</f>
        <v/>
      </c>
      <c r="U32" s="20">
        <f>S32*('Conti per prodotto'!$O$10+'Conti per prodotto'!$I$10)</f>
        <v/>
      </c>
      <c r="V32" s="20">
        <f>'Costi B2Brand'!$D$6</f>
        <v/>
      </c>
      <c r="W32" s="20">
        <f>C$8</f>
        <v/>
      </c>
      <c r="X32" s="20">
        <f>IF(Ipotesi!$B$15="margine",MAX(0,X31-(U31-V31-W31)),0)</f>
        <v/>
      </c>
      <c r="Y32" s="20">
        <f>IF(Ipotesi!$B$15="margine",MIN(U32,V32+W32+X32+0.5*MAX(0,(U32-V32-W32)-X32)),S32*'Conti per prodotto'!$I$10)</f>
        <v/>
      </c>
      <c r="Z32" s="19">
        <f>Y32-V32-W32</f>
        <v/>
      </c>
      <c r="AA32" s="20">
        <f>AA31+Z32</f>
        <v/>
      </c>
      <c r="AB32" s="19">
        <f>U32-Y32</f>
        <v/>
      </c>
      <c r="AC32" s="20">
        <f>AC31+AB32</f>
        <v/>
      </c>
      <c r="AD32" s="21">
        <f>IF(IF(Ipotesi!$B$15="margine",(U32-V32-W32)/2,Z32)&gt;=Ipotesi!$B$14,Q32,"")</f>
        <v/>
      </c>
      <c r="AE32" s="21">
        <f>IF(AND(Q32&gt;1,AA32&gt;=0),Q32,"")</f>
        <v/>
      </c>
      <c r="AG32" s="4" t="n">
        <v>15</v>
      </c>
      <c r="AH32" s="4" t="n">
        <v>2</v>
      </c>
      <c r="AI32" s="4">
        <f>ROUND((D$3+(D$13-D$3)*3/12)*Stagionalità!$B$6,0)</f>
        <v/>
      </c>
      <c r="AJ32" s="20">
        <f>AI32*'Conti per prodotto'!$B$10</f>
        <v/>
      </c>
      <c r="AK32" s="20">
        <f>AI32*('Conti per prodotto'!$O$10+'Conti per prodotto'!$I$10)</f>
        <v/>
      </c>
      <c r="AL32" s="20">
        <f>'Costi B2Brand'!$D$6</f>
        <v/>
      </c>
      <c r="AM32" s="20">
        <f>D$8</f>
        <v/>
      </c>
      <c r="AN32" s="20">
        <f>IF(Ipotesi!$B$15="margine",MAX(0,AN31-(AK31-AL31-AM31)),0)</f>
        <v/>
      </c>
      <c r="AO32" s="20">
        <f>IF(Ipotesi!$B$15="margine",MIN(AK32,AL32+AM32+AN32+0.5*MAX(0,(AK32-AL32-AM32)-AN32)),AI32*'Conti per prodotto'!$I$10)</f>
        <v/>
      </c>
      <c r="AP32" s="19">
        <f>AO32-AL32-AM32</f>
        <v/>
      </c>
      <c r="AQ32" s="20">
        <f>AQ31+AP32</f>
        <v/>
      </c>
      <c r="AR32" s="19">
        <f>AK32-AO32</f>
        <v/>
      </c>
      <c r="AS32" s="20">
        <f>AS31+AR32</f>
        <v/>
      </c>
      <c r="AT32" s="21">
        <f>IF(IF(Ipotesi!$B$15="margine",(AK32-AL32-AM32)/2,AP32)&gt;=Ipotesi!$B$14,AG32,"")</f>
        <v/>
      </c>
      <c r="AU32" s="21">
        <f>IF(AND(AG32&gt;1,AQ32&gt;=0),AG32,"")</f>
        <v/>
      </c>
    </row>
    <row r="33">
      <c r="A33" s="4" t="n">
        <v>16</v>
      </c>
      <c r="B33" s="4" t="n">
        <v>2</v>
      </c>
      <c r="C33" s="4">
        <f>ROUND((B$3+(B$13-B$3)*4/12)*Stagionalità!$B$7,0)</f>
        <v/>
      </c>
      <c r="D33" s="20">
        <f>C33*'Conti per prodotto'!$B$10</f>
        <v/>
      </c>
      <c r="E33" s="20">
        <f>C33*('Conti per prodotto'!$O$10+'Conti per prodotto'!$I$10)</f>
        <v/>
      </c>
      <c r="F33" s="20">
        <f>'Costi B2Brand'!$D$6</f>
        <v/>
      </c>
      <c r="G33" s="20">
        <f>B$8</f>
        <v/>
      </c>
      <c r="H33" s="20">
        <f>IF(Ipotesi!$B$15="margine",MAX(0,H32-(E32-F32-G32)),0)</f>
        <v/>
      </c>
      <c r="I33" s="20">
        <f>IF(Ipotesi!$B$15="margine",MIN(E33,F33+G33+H33+0.5*MAX(0,(E33-F33-G33)-H33)),C33*'Conti per prodotto'!$I$10)</f>
        <v/>
      </c>
      <c r="J33" s="19">
        <f>I33-F33-G33</f>
        <v/>
      </c>
      <c r="K33" s="20">
        <f>K32+J33</f>
        <v/>
      </c>
      <c r="L33" s="19">
        <f>E33-I33</f>
        <v/>
      </c>
      <c r="M33" s="20">
        <f>M32+L33</f>
        <v/>
      </c>
      <c r="N33" s="21">
        <f>IF(IF(Ipotesi!$B$15="margine",(E33-F33-G33)/2,J33)&gt;=Ipotesi!$B$14,A33,"")</f>
        <v/>
      </c>
      <c r="O33" s="21">
        <f>IF(AND(A33&gt;1,K33&gt;=0),A33,"")</f>
        <v/>
      </c>
      <c r="Q33" s="4" t="n">
        <v>16</v>
      </c>
      <c r="R33" s="4" t="n">
        <v>2</v>
      </c>
      <c r="S33" s="4">
        <f>ROUND((C$3+(C$13-C$3)*4/12)*Stagionalità!$B$7,0)</f>
        <v/>
      </c>
      <c r="T33" s="20">
        <f>S33*'Conti per prodotto'!$B$10</f>
        <v/>
      </c>
      <c r="U33" s="20">
        <f>S33*('Conti per prodotto'!$O$10+'Conti per prodotto'!$I$10)</f>
        <v/>
      </c>
      <c r="V33" s="20">
        <f>'Costi B2Brand'!$D$6</f>
        <v/>
      </c>
      <c r="W33" s="20">
        <f>C$8</f>
        <v/>
      </c>
      <c r="X33" s="20">
        <f>IF(Ipotesi!$B$15="margine",MAX(0,X32-(U32-V32-W32)),0)</f>
        <v/>
      </c>
      <c r="Y33" s="20">
        <f>IF(Ipotesi!$B$15="margine",MIN(U33,V33+W33+X33+0.5*MAX(0,(U33-V33-W33)-X33)),S33*'Conti per prodotto'!$I$10)</f>
        <v/>
      </c>
      <c r="Z33" s="19">
        <f>Y33-V33-W33</f>
        <v/>
      </c>
      <c r="AA33" s="20">
        <f>AA32+Z33</f>
        <v/>
      </c>
      <c r="AB33" s="19">
        <f>U33-Y33</f>
        <v/>
      </c>
      <c r="AC33" s="20">
        <f>AC32+AB33</f>
        <v/>
      </c>
      <c r="AD33" s="21">
        <f>IF(IF(Ipotesi!$B$15="margine",(U33-V33-W33)/2,Z33)&gt;=Ipotesi!$B$14,Q33,"")</f>
        <v/>
      </c>
      <c r="AE33" s="21">
        <f>IF(AND(Q33&gt;1,AA33&gt;=0),Q33,"")</f>
        <v/>
      </c>
      <c r="AG33" s="4" t="n">
        <v>16</v>
      </c>
      <c r="AH33" s="4" t="n">
        <v>2</v>
      </c>
      <c r="AI33" s="4">
        <f>ROUND((D$3+(D$13-D$3)*4/12)*Stagionalità!$B$7,0)</f>
        <v/>
      </c>
      <c r="AJ33" s="20">
        <f>AI33*'Conti per prodotto'!$B$10</f>
        <v/>
      </c>
      <c r="AK33" s="20">
        <f>AI33*('Conti per prodotto'!$O$10+'Conti per prodotto'!$I$10)</f>
        <v/>
      </c>
      <c r="AL33" s="20">
        <f>'Costi B2Brand'!$D$6</f>
        <v/>
      </c>
      <c r="AM33" s="20">
        <f>D$8</f>
        <v/>
      </c>
      <c r="AN33" s="20">
        <f>IF(Ipotesi!$B$15="margine",MAX(0,AN32-(AK32-AL32-AM32)),0)</f>
        <v/>
      </c>
      <c r="AO33" s="20">
        <f>IF(Ipotesi!$B$15="margine",MIN(AK33,AL33+AM33+AN33+0.5*MAX(0,(AK33-AL33-AM33)-AN33)),AI33*'Conti per prodotto'!$I$10)</f>
        <v/>
      </c>
      <c r="AP33" s="19">
        <f>AO33-AL33-AM33</f>
        <v/>
      </c>
      <c r="AQ33" s="20">
        <f>AQ32+AP33</f>
        <v/>
      </c>
      <c r="AR33" s="19">
        <f>AK33-AO33</f>
        <v/>
      </c>
      <c r="AS33" s="20">
        <f>AS32+AR33</f>
        <v/>
      </c>
      <c r="AT33" s="21">
        <f>IF(IF(Ipotesi!$B$15="margine",(AK33-AL33-AM33)/2,AP33)&gt;=Ipotesi!$B$14,AG33,"")</f>
        <v/>
      </c>
      <c r="AU33" s="21">
        <f>IF(AND(AG33&gt;1,AQ33&gt;=0),AG33,"")</f>
        <v/>
      </c>
    </row>
    <row r="34">
      <c r="A34" s="4" t="n">
        <v>17</v>
      </c>
      <c r="B34" s="4" t="n">
        <v>2</v>
      </c>
      <c r="C34" s="4">
        <f>ROUND((B$3+(B$13-B$3)*5/12)*Stagionalità!$B$8,0)</f>
        <v/>
      </c>
      <c r="D34" s="20">
        <f>C34*'Conti per prodotto'!$B$10</f>
        <v/>
      </c>
      <c r="E34" s="20">
        <f>C34*('Conti per prodotto'!$O$10+'Conti per prodotto'!$I$10)</f>
        <v/>
      </c>
      <c r="F34" s="20">
        <f>'Costi B2Brand'!$D$6</f>
        <v/>
      </c>
      <c r="G34" s="20">
        <f>B$8</f>
        <v/>
      </c>
      <c r="H34" s="20">
        <f>IF(Ipotesi!$B$15="margine",MAX(0,H33-(E33-F33-G33)),0)</f>
        <v/>
      </c>
      <c r="I34" s="20">
        <f>IF(Ipotesi!$B$15="margine",MIN(E34,F34+G34+H34+0.5*MAX(0,(E34-F34-G34)-H34)),C34*'Conti per prodotto'!$I$10)</f>
        <v/>
      </c>
      <c r="J34" s="19">
        <f>I34-F34-G34</f>
        <v/>
      </c>
      <c r="K34" s="20">
        <f>K33+J34</f>
        <v/>
      </c>
      <c r="L34" s="19">
        <f>E34-I34</f>
        <v/>
      </c>
      <c r="M34" s="20">
        <f>M33+L34</f>
        <v/>
      </c>
      <c r="N34" s="21">
        <f>IF(IF(Ipotesi!$B$15="margine",(E34-F34-G34)/2,J34)&gt;=Ipotesi!$B$14,A34,"")</f>
        <v/>
      </c>
      <c r="O34" s="21">
        <f>IF(AND(A34&gt;1,K34&gt;=0),A34,"")</f>
        <v/>
      </c>
      <c r="Q34" s="4" t="n">
        <v>17</v>
      </c>
      <c r="R34" s="4" t="n">
        <v>2</v>
      </c>
      <c r="S34" s="4">
        <f>ROUND((C$3+(C$13-C$3)*5/12)*Stagionalità!$B$8,0)</f>
        <v/>
      </c>
      <c r="T34" s="20">
        <f>S34*'Conti per prodotto'!$B$10</f>
        <v/>
      </c>
      <c r="U34" s="20">
        <f>S34*('Conti per prodotto'!$O$10+'Conti per prodotto'!$I$10)</f>
        <v/>
      </c>
      <c r="V34" s="20">
        <f>'Costi B2Brand'!$D$6</f>
        <v/>
      </c>
      <c r="W34" s="20">
        <f>C$8</f>
        <v/>
      </c>
      <c r="X34" s="20">
        <f>IF(Ipotesi!$B$15="margine",MAX(0,X33-(U33-V33-W33)),0)</f>
        <v/>
      </c>
      <c r="Y34" s="20">
        <f>IF(Ipotesi!$B$15="margine",MIN(U34,V34+W34+X34+0.5*MAX(0,(U34-V34-W34)-X34)),S34*'Conti per prodotto'!$I$10)</f>
        <v/>
      </c>
      <c r="Z34" s="19">
        <f>Y34-V34-W34</f>
        <v/>
      </c>
      <c r="AA34" s="20">
        <f>AA33+Z34</f>
        <v/>
      </c>
      <c r="AB34" s="19">
        <f>U34-Y34</f>
        <v/>
      </c>
      <c r="AC34" s="20">
        <f>AC33+AB34</f>
        <v/>
      </c>
      <c r="AD34" s="21">
        <f>IF(IF(Ipotesi!$B$15="margine",(U34-V34-W34)/2,Z34)&gt;=Ipotesi!$B$14,Q34,"")</f>
        <v/>
      </c>
      <c r="AE34" s="21">
        <f>IF(AND(Q34&gt;1,AA34&gt;=0),Q34,"")</f>
        <v/>
      </c>
      <c r="AG34" s="4" t="n">
        <v>17</v>
      </c>
      <c r="AH34" s="4" t="n">
        <v>2</v>
      </c>
      <c r="AI34" s="4">
        <f>ROUND((D$3+(D$13-D$3)*5/12)*Stagionalità!$B$8,0)</f>
        <v/>
      </c>
      <c r="AJ34" s="20">
        <f>AI34*'Conti per prodotto'!$B$10</f>
        <v/>
      </c>
      <c r="AK34" s="20">
        <f>AI34*('Conti per prodotto'!$O$10+'Conti per prodotto'!$I$10)</f>
        <v/>
      </c>
      <c r="AL34" s="20">
        <f>'Costi B2Brand'!$D$6</f>
        <v/>
      </c>
      <c r="AM34" s="20">
        <f>D$8</f>
        <v/>
      </c>
      <c r="AN34" s="20">
        <f>IF(Ipotesi!$B$15="margine",MAX(0,AN33-(AK33-AL33-AM33)),0)</f>
        <v/>
      </c>
      <c r="AO34" s="20">
        <f>IF(Ipotesi!$B$15="margine",MIN(AK34,AL34+AM34+AN34+0.5*MAX(0,(AK34-AL34-AM34)-AN34)),AI34*'Conti per prodotto'!$I$10)</f>
        <v/>
      </c>
      <c r="AP34" s="19">
        <f>AO34-AL34-AM34</f>
        <v/>
      </c>
      <c r="AQ34" s="20">
        <f>AQ33+AP34</f>
        <v/>
      </c>
      <c r="AR34" s="19">
        <f>AK34-AO34</f>
        <v/>
      </c>
      <c r="AS34" s="20">
        <f>AS33+AR34</f>
        <v/>
      </c>
      <c r="AT34" s="21">
        <f>IF(IF(Ipotesi!$B$15="margine",(AK34-AL34-AM34)/2,AP34)&gt;=Ipotesi!$B$14,AG34,"")</f>
        <v/>
      </c>
      <c r="AU34" s="21">
        <f>IF(AND(AG34&gt;1,AQ34&gt;=0),AG34,"")</f>
        <v/>
      </c>
    </row>
    <row r="35">
      <c r="A35" s="4" t="n">
        <v>18</v>
      </c>
      <c r="B35" s="4" t="n">
        <v>2</v>
      </c>
      <c r="C35" s="4">
        <f>ROUND((B$3+(B$13-B$3)*6/12)*Stagionalità!$B$9,0)</f>
        <v/>
      </c>
      <c r="D35" s="20">
        <f>C35*'Conti per prodotto'!$B$10</f>
        <v/>
      </c>
      <c r="E35" s="20">
        <f>C35*('Conti per prodotto'!$O$10+'Conti per prodotto'!$I$10)</f>
        <v/>
      </c>
      <c r="F35" s="20">
        <f>'Costi B2Brand'!$D$6</f>
        <v/>
      </c>
      <c r="G35" s="20">
        <f>B$8</f>
        <v/>
      </c>
      <c r="H35" s="20">
        <f>IF(Ipotesi!$B$15="margine",MAX(0,H34-(E34-F34-G34)),0)</f>
        <v/>
      </c>
      <c r="I35" s="20">
        <f>IF(Ipotesi!$B$15="margine",MIN(E35,F35+G35+H35+0.5*MAX(0,(E35-F35-G35)-H35)),C35*'Conti per prodotto'!$I$10)</f>
        <v/>
      </c>
      <c r="J35" s="19">
        <f>I35-F35-G35</f>
        <v/>
      </c>
      <c r="K35" s="20">
        <f>K34+J35</f>
        <v/>
      </c>
      <c r="L35" s="19">
        <f>E35-I35</f>
        <v/>
      </c>
      <c r="M35" s="20">
        <f>M34+L35</f>
        <v/>
      </c>
      <c r="N35" s="21">
        <f>IF(IF(Ipotesi!$B$15="margine",(E35-F35-G35)/2,J35)&gt;=Ipotesi!$B$14,A35,"")</f>
        <v/>
      </c>
      <c r="O35" s="21">
        <f>IF(AND(A35&gt;1,K35&gt;=0),A35,"")</f>
        <v/>
      </c>
      <c r="Q35" s="4" t="n">
        <v>18</v>
      </c>
      <c r="R35" s="4" t="n">
        <v>2</v>
      </c>
      <c r="S35" s="4">
        <f>ROUND((C$3+(C$13-C$3)*6/12)*Stagionalità!$B$9,0)</f>
        <v/>
      </c>
      <c r="T35" s="20">
        <f>S35*'Conti per prodotto'!$B$10</f>
        <v/>
      </c>
      <c r="U35" s="20">
        <f>S35*('Conti per prodotto'!$O$10+'Conti per prodotto'!$I$10)</f>
        <v/>
      </c>
      <c r="V35" s="20">
        <f>'Costi B2Brand'!$D$6</f>
        <v/>
      </c>
      <c r="W35" s="20">
        <f>C$8</f>
        <v/>
      </c>
      <c r="X35" s="20">
        <f>IF(Ipotesi!$B$15="margine",MAX(0,X34-(U34-V34-W34)),0)</f>
        <v/>
      </c>
      <c r="Y35" s="20">
        <f>IF(Ipotesi!$B$15="margine",MIN(U35,V35+W35+X35+0.5*MAX(0,(U35-V35-W35)-X35)),S35*'Conti per prodotto'!$I$10)</f>
        <v/>
      </c>
      <c r="Z35" s="19">
        <f>Y35-V35-W35</f>
        <v/>
      </c>
      <c r="AA35" s="20">
        <f>AA34+Z35</f>
        <v/>
      </c>
      <c r="AB35" s="19">
        <f>U35-Y35</f>
        <v/>
      </c>
      <c r="AC35" s="20">
        <f>AC34+AB35</f>
        <v/>
      </c>
      <c r="AD35" s="21">
        <f>IF(IF(Ipotesi!$B$15="margine",(U35-V35-W35)/2,Z35)&gt;=Ipotesi!$B$14,Q35,"")</f>
        <v/>
      </c>
      <c r="AE35" s="21">
        <f>IF(AND(Q35&gt;1,AA35&gt;=0),Q35,"")</f>
        <v/>
      </c>
      <c r="AG35" s="4" t="n">
        <v>18</v>
      </c>
      <c r="AH35" s="4" t="n">
        <v>2</v>
      </c>
      <c r="AI35" s="4">
        <f>ROUND((D$3+(D$13-D$3)*6/12)*Stagionalità!$B$9,0)</f>
        <v/>
      </c>
      <c r="AJ35" s="20">
        <f>AI35*'Conti per prodotto'!$B$10</f>
        <v/>
      </c>
      <c r="AK35" s="20">
        <f>AI35*('Conti per prodotto'!$O$10+'Conti per prodotto'!$I$10)</f>
        <v/>
      </c>
      <c r="AL35" s="20">
        <f>'Costi B2Brand'!$D$6</f>
        <v/>
      </c>
      <c r="AM35" s="20">
        <f>D$8</f>
        <v/>
      </c>
      <c r="AN35" s="20">
        <f>IF(Ipotesi!$B$15="margine",MAX(0,AN34-(AK34-AL34-AM34)),0)</f>
        <v/>
      </c>
      <c r="AO35" s="20">
        <f>IF(Ipotesi!$B$15="margine",MIN(AK35,AL35+AM35+AN35+0.5*MAX(0,(AK35-AL35-AM35)-AN35)),AI35*'Conti per prodotto'!$I$10)</f>
        <v/>
      </c>
      <c r="AP35" s="19">
        <f>AO35-AL35-AM35</f>
        <v/>
      </c>
      <c r="AQ35" s="20">
        <f>AQ34+AP35</f>
        <v/>
      </c>
      <c r="AR35" s="19">
        <f>AK35-AO35</f>
        <v/>
      </c>
      <c r="AS35" s="20">
        <f>AS34+AR35</f>
        <v/>
      </c>
      <c r="AT35" s="21">
        <f>IF(IF(Ipotesi!$B$15="margine",(AK35-AL35-AM35)/2,AP35)&gt;=Ipotesi!$B$14,AG35,"")</f>
        <v/>
      </c>
      <c r="AU35" s="21">
        <f>IF(AND(AG35&gt;1,AQ35&gt;=0),AG35,"")</f>
        <v/>
      </c>
    </row>
    <row r="36">
      <c r="A36" s="4" t="n">
        <v>19</v>
      </c>
      <c r="B36" s="4" t="n">
        <v>2</v>
      </c>
      <c r="C36" s="4">
        <f>ROUND((B$3+(B$13-B$3)*7/12)*Stagionalità!$B$10,0)</f>
        <v/>
      </c>
      <c r="D36" s="20">
        <f>C36*'Conti per prodotto'!$B$10</f>
        <v/>
      </c>
      <c r="E36" s="20">
        <f>C36*('Conti per prodotto'!$O$10+'Conti per prodotto'!$I$10)</f>
        <v/>
      </c>
      <c r="F36" s="20">
        <f>'Costi B2Brand'!$D$6</f>
        <v/>
      </c>
      <c r="G36" s="20">
        <f>B$8</f>
        <v/>
      </c>
      <c r="H36" s="20">
        <f>IF(Ipotesi!$B$15="margine",MAX(0,H35-(E35-F35-G35)),0)</f>
        <v/>
      </c>
      <c r="I36" s="20">
        <f>IF(Ipotesi!$B$15="margine",MIN(E36,F36+G36+H36+0.5*MAX(0,(E36-F36-G36)-H36)),C36*'Conti per prodotto'!$I$10)</f>
        <v/>
      </c>
      <c r="J36" s="19">
        <f>I36-F36-G36</f>
        <v/>
      </c>
      <c r="K36" s="20">
        <f>K35+J36</f>
        <v/>
      </c>
      <c r="L36" s="19">
        <f>E36-I36</f>
        <v/>
      </c>
      <c r="M36" s="20">
        <f>M35+L36</f>
        <v/>
      </c>
      <c r="N36" s="21">
        <f>IF(IF(Ipotesi!$B$15="margine",(E36-F36-G36)/2,J36)&gt;=Ipotesi!$B$14,A36,"")</f>
        <v/>
      </c>
      <c r="O36" s="21">
        <f>IF(AND(A36&gt;1,K36&gt;=0),A36,"")</f>
        <v/>
      </c>
      <c r="Q36" s="4" t="n">
        <v>19</v>
      </c>
      <c r="R36" s="4" t="n">
        <v>2</v>
      </c>
      <c r="S36" s="4">
        <f>ROUND((C$3+(C$13-C$3)*7/12)*Stagionalità!$B$10,0)</f>
        <v/>
      </c>
      <c r="T36" s="20">
        <f>S36*'Conti per prodotto'!$B$10</f>
        <v/>
      </c>
      <c r="U36" s="20">
        <f>S36*('Conti per prodotto'!$O$10+'Conti per prodotto'!$I$10)</f>
        <v/>
      </c>
      <c r="V36" s="20">
        <f>'Costi B2Brand'!$D$6</f>
        <v/>
      </c>
      <c r="W36" s="20">
        <f>C$8</f>
        <v/>
      </c>
      <c r="X36" s="20">
        <f>IF(Ipotesi!$B$15="margine",MAX(0,X35-(U35-V35-W35)),0)</f>
        <v/>
      </c>
      <c r="Y36" s="20">
        <f>IF(Ipotesi!$B$15="margine",MIN(U36,V36+W36+X36+0.5*MAX(0,(U36-V36-W36)-X36)),S36*'Conti per prodotto'!$I$10)</f>
        <v/>
      </c>
      <c r="Z36" s="19">
        <f>Y36-V36-W36</f>
        <v/>
      </c>
      <c r="AA36" s="20">
        <f>AA35+Z36</f>
        <v/>
      </c>
      <c r="AB36" s="19">
        <f>U36-Y36</f>
        <v/>
      </c>
      <c r="AC36" s="20">
        <f>AC35+AB36</f>
        <v/>
      </c>
      <c r="AD36" s="21">
        <f>IF(IF(Ipotesi!$B$15="margine",(U36-V36-W36)/2,Z36)&gt;=Ipotesi!$B$14,Q36,"")</f>
        <v/>
      </c>
      <c r="AE36" s="21">
        <f>IF(AND(Q36&gt;1,AA36&gt;=0),Q36,"")</f>
        <v/>
      </c>
      <c r="AG36" s="4" t="n">
        <v>19</v>
      </c>
      <c r="AH36" s="4" t="n">
        <v>2</v>
      </c>
      <c r="AI36" s="4">
        <f>ROUND((D$3+(D$13-D$3)*7/12)*Stagionalità!$B$10,0)</f>
        <v/>
      </c>
      <c r="AJ36" s="20">
        <f>AI36*'Conti per prodotto'!$B$10</f>
        <v/>
      </c>
      <c r="AK36" s="20">
        <f>AI36*('Conti per prodotto'!$O$10+'Conti per prodotto'!$I$10)</f>
        <v/>
      </c>
      <c r="AL36" s="20">
        <f>'Costi B2Brand'!$D$6</f>
        <v/>
      </c>
      <c r="AM36" s="20">
        <f>D$8</f>
        <v/>
      </c>
      <c r="AN36" s="20">
        <f>IF(Ipotesi!$B$15="margine",MAX(0,AN35-(AK35-AL35-AM35)),0)</f>
        <v/>
      </c>
      <c r="AO36" s="20">
        <f>IF(Ipotesi!$B$15="margine",MIN(AK36,AL36+AM36+AN36+0.5*MAX(0,(AK36-AL36-AM36)-AN36)),AI36*'Conti per prodotto'!$I$10)</f>
        <v/>
      </c>
      <c r="AP36" s="19">
        <f>AO36-AL36-AM36</f>
        <v/>
      </c>
      <c r="AQ36" s="20">
        <f>AQ35+AP36</f>
        <v/>
      </c>
      <c r="AR36" s="19">
        <f>AK36-AO36</f>
        <v/>
      </c>
      <c r="AS36" s="20">
        <f>AS35+AR36</f>
        <v/>
      </c>
      <c r="AT36" s="21">
        <f>IF(IF(Ipotesi!$B$15="margine",(AK36-AL36-AM36)/2,AP36)&gt;=Ipotesi!$B$14,AG36,"")</f>
        <v/>
      </c>
      <c r="AU36" s="21">
        <f>IF(AND(AG36&gt;1,AQ36&gt;=0),AG36,"")</f>
        <v/>
      </c>
    </row>
    <row r="37">
      <c r="A37" s="4" t="n">
        <v>20</v>
      </c>
      <c r="B37" s="4" t="n">
        <v>2</v>
      </c>
      <c r="C37" s="4">
        <f>ROUND((B$3+(B$13-B$3)*8/12)*Stagionalità!$B$11,0)</f>
        <v/>
      </c>
      <c r="D37" s="20">
        <f>C37*'Conti per prodotto'!$B$10</f>
        <v/>
      </c>
      <c r="E37" s="20">
        <f>C37*('Conti per prodotto'!$O$10+'Conti per prodotto'!$I$10)</f>
        <v/>
      </c>
      <c r="F37" s="20">
        <f>'Costi B2Brand'!$D$6</f>
        <v/>
      </c>
      <c r="G37" s="20">
        <f>B$8</f>
        <v/>
      </c>
      <c r="H37" s="20">
        <f>IF(Ipotesi!$B$15="margine",MAX(0,H36-(E36-F36-G36)),0)</f>
        <v/>
      </c>
      <c r="I37" s="20">
        <f>IF(Ipotesi!$B$15="margine",MIN(E37,F37+G37+H37+0.5*MAX(0,(E37-F37-G37)-H37)),C37*'Conti per prodotto'!$I$10)</f>
        <v/>
      </c>
      <c r="J37" s="19">
        <f>I37-F37-G37</f>
        <v/>
      </c>
      <c r="K37" s="20">
        <f>K36+J37</f>
        <v/>
      </c>
      <c r="L37" s="19">
        <f>E37-I37</f>
        <v/>
      </c>
      <c r="M37" s="20">
        <f>M36+L37</f>
        <v/>
      </c>
      <c r="N37" s="21">
        <f>IF(IF(Ipotesi!$B$15="margine",(E37-F37-G37)/2,J37)&gt;=Ipotesi!$B$14,A37,"")</f>
        <v/>
      </c>
      <c r="O37" s="21">
        <f>IF(AND(A37&gt;1,K37&gt;=0),A37,"")</f>
        <v/>
      </c>
      <c r="Q37" s="4" t="n">
        <v>20</v>
      </c>
      <c r="R37" s="4" t="n">
        <v>2</v>
      </c>
      <c r="S37" s="4">
        <f>ROUND((C$3+(C$13-C$3)*8/12)*Stagionalità!$B$11,0)</f>
        <v/>
      </c>
      <c r="T37" s="20">
        <f>S37*'Conti per prodotto'!$B$10</f>
        <v/>
      </c>
      <c r="U37" s="20">
        <f>S37*('Conti per prodotto'!$O$10+'Conti per prodotto'!$I$10)</f>
        <v/>
      </c>
      <c r="V37" s="20">
        <f>'Costi B2Brand'!$D$6</f>
        <v/>
      </c>
      <c r="W37" s="20">
        <f>C$8</f>
        <v/>
      </c>
      <c r="X37" s="20">
        <f>IF(Ipotesi!$B$15="margine",MAX(0,X36-(U36-V36-W36)),0)</f>
        <v/>
      </c>
      <c r="Y37" s="20">
        <f>IF(Ipotesi!$B$15="margine",MIN(U37,V37+W37+X37+0.5*MAX(0,(U37-V37-W37)-X37)),S37*'Conti per prodotto'!$I$10)</f>
        <v/>
      </c>
      <c r="Z37" s="19">
        <f>Y37-V37-W37</f>
        <v/>
      </c>
      <c r="AA37" s="20">
        <f>AA36+Z37</f>
        <v/>
      </c>
      <c r="AB37" s="19">
        <f>U37-Y37</f>
        <v/>
      </c>
      <c r="AC37" s="20">
        <f>AC36+AB37</f>
        <v/>
      </c>
      <c r="AD37" s="21">
        <f>IF(IF(Ipotesi!$B$15="margine",(U37-V37-W37)/2,Z37)&gt;=Ipotesi!$B$14,Q37,"")</f>
        <v/>
      </c>
      <c r="AE37" s="21">
        <f>IF(AND(Q37&gt;1,AA37&gt;=0),Q37,"")</f>
        <v/>
      </c>
      <c r="AG37" s="4" t="n">
        <v>20</v>
      </c>
      <c r="AH37" s="4" t="n">
        <v>2</v>
      </c>
      <c r="AI37" s="4">
        <f>ROUND((D$3+(D$13-D$3)*8/12)*Stagionalità!$B$11,0)</f>
        <v/>
      </c>
      <c r="AJ37" s="20">
        <f>AI37*'Conti per prodotto'!$B$10</f>
        <v/>
      </c>
      <c r="AK37" s="20">
        <f>AI37*('Conti per prodotto'!$O$10+'Conti per prodotto'!$I$10)</f>
        <v/>
      </c>
      <c r="AL37" s="20">
        <f>'Costi B2Brand'!$D$6</f>
        <v/>
      </c>
      <c r="AM37" s="20">
        <f>D$8</f>
        <v/>
      </c>
      <c r="AN37" s="20">
        <f>IF(Ipotesi!$B$15="margine",MAX(0,AN36-(AK36-AL36-AM36)),0)</f>
        <v/>
      </c>
      <c r="AO37" s="20">
        <f>IF(Ipotesi!$B$15="margine",MIN(AK37,AL37+AM37+AN37+0.5*MAX(0,(AK37-AL37-AM37)-AN37)),AI37*'Conti per prodotto'!$I$10)</f>
        <v/>
      </c>
      <c r="AP37" s="19">
        <f>AO37-AL37-AM37</f>
        <v/>
      </c>
      <c r="AQ37" s="20">
        <f>AQ36+AP37</f>
        <v/>
      </c>
      <c r="AR37" s="19">
        <f>AK37-AO37</f>
        <v/>
      </c>
      <c r="AS37" s="20">
        <f>AS36+AR37</f>
        <v/>
      </c>
      <c r="AT37" s="21">
        <f>IF(IF(Ipotesi!$B$15="margine",(AK37-AL37-AM37)/2,AP37)&gt;=Ipotesi!$B$14,AG37,"")</f>
        <v/>
      </c>
      <c r="AU37" s="21">
        <f>IF(AND(AG37&gt;1,AQ37&gt;=0),AG37,"")</f>
        <v/>
      </c>
    </row>
    <row r="38">
      <c r="A38" s="4" t="n">
        <v>21</v>
      </c>
      <c r="B38" s="4" t="n">
        <v>2</v>
      </c>
      <c r="C38" s="4">
        <f>ROUND((B$3+(B$13-B$3)*9/12)*Stagionalità!$B$12,0)</f>
        <v/>
      </c>
      <c r="D38" s="20">
        <f>C38*'Conti per prodotto'!$B$10</f>
        <v/>
      </c>
      <c r="E38" s="20">
        <f>C38*('Conti per prodotto'!$O$10+'Conti per prodotto'!$I$10)</f>
        <v/>
      </c>
      <c r="F38" s="20">
        <f>'Costi B2Brand'!$D$6</f>
        <v/>
      </c>
      <c r="G38" s="20">
        <f>B$8</f>
        <v/>
      </c>
      <c r="H38" s="20">
        <f>IF(Ipotesi!$B$15="margine",MAX(0,H37-(E37-F37-G37)),0)</f>
        <v/>
      </c>
      <c r="I38" s="20">
        <f>IF(Ipotesi!$B$15="margine",MIN(E38,F38+G38+H38+0.5*MAX(0,(E38-F38-G38)-H38)),C38*'Conti per prodotto'!$I$10)</f>
        <v/>
      </c>
      <c r="J38" s="19">
        <f>I38-F38-G38</f>
        <v/>
      </c>
      <c r="K38" s="20">
        <f>K37+J38</f>
        <v/>
      </c>
      <c r="L38" s="19">
        <f>E38-I38</f>
        <v/>
      </c>
      <c r="M38" s="20">
        <f>M37+L38</f>
        <v/>
      </c>
      <c r="N38" s="21">
        <f>IF(IF(Ipotesi!$B$15="margine",(E38-F38-G38)/2,J38)&gt;=Ipotesi!$B$14,A38,"")</f>
        <v/>
      </c>
      <c r="O38" s="21">
        <f>IF(AND(A38&gt;1,K38&gt;=0),A38,"")</f>
        <v/>
      </c>
      <c r="Q38" s="4" t="n">
        <v>21</v>
      </c>
      <c r="R38" s="4" t="n">
        <v>2</v>
      </c>
      <c r="S38" s="4">
        <f>ROUND((C$3+(C$13-C$3)*9/12)*Stagionalità!$B$12,0)</f>
        <v/>
      </c>
      <c r="T38" s="20">
        <f>S38*'Conti per prodotto'!$B$10</f>
        <v/>
      </c>
      <c r="U38" s="20">
        <f>S38*('Conti per prodotto'!$O$10+'Conti per prodotto'!$I$10)</f>
        <v/>
      </c>
      <c r="V38" s="20">
        <f>'Costi B2Brand'!$D$6</f>
        <v/>
      </c>
      <c r="W38" s="20">
        <f>C$8</f>
        <v/>
      </c>
      <c r="X38" s="20">
        <f>IF(Ipotesi!$B$15="margine",MAX(0,X37-(U37-V37-W37)),0)</f>
        <v/>
      </c>
      <c r="Y38" s="20">
        <f>IF(Ipotesi!$B$15="margine",MIN(U38,V38+W38+X38+0.5*MAX(0,(U38-V38-W38)-X38)),S38*'Conti per prodotto'!$I$10)</f>
        <v/>
      </c>
      <c r="Z38" s="19">
        <f>Y38-V38-W38</f>
        <v/>
      </c>
      <c r="AA38" s="20">
        <f>AA37+Z38</f>
        <v/>
      </c>
      <c r="AB38" s="19">
        <f>U38-Y38</f>
        <v/>
      </c>
      <c r="AC38" s="20">
        <f>AC37+AB38</f>
        <v/>
      </c>
      <c r="AD38" s="21">
        <f>IF(IF(Ipotesi!$B$15="margine",(U38-V38-W38)/2,Z38)&gt;=Ipotesi!$B$14,Q38,"")</f>
        <v/>
      </c>
      <c r="AE38" s="21">
        <f>IF(AND(Q38&gt;1,AA38&gt;=0),Q38,"")</f>
        <v/>
      </c>
      <c r="AG38" s="4" t="n">
        <v>21</v>
      </c>
      <c r="AH38" s="4" t="n">
        <v>2</v>
      </c>
      <c r="AI38" s="4">
        <f>ROUND((D$3+(D$13-D$3)*9/12)*Stagionalità!$B$12,0)</f>
        <v/>
      </c>
      <c r="AJ38" s="20">
        <f>AI38*'Conti per prodotto'!$B$10</f>
        <v/>
      </c>
      <c r="AK38" s="20">
        <f>AI38*('Conti per prodotto'!$O$10+'Conti per prodotto'!$I$10)</f>
        <v/>
      </c>
      <c r="AL38" s="20">
        <f>'Costi B2Brand'!$D$6</f>
        <v/>
      </c>
      <c r="AM38" s="20">
        <f>D$8</f>
        <v/>
      </c>
      <c r="AN38" s="20">
        <f>IF(Ipotesi!$B$15="margine",MAX(0,AN37-(AK37-AL37-AM37)),0)</f>
        <v/>
      </c>
      <c r="AO38" s="20">
        <f>IF(Ipotesi!$B$15="margine",MIN(AK38,AL38+AM38+AN38+0.5*MAX(0,(AK38-AL38-AM38)-AN38)),AI38*'Conti per prodotto'!$I$10)</f>
        <v/>
      </c>
      <c r="AP38" s="19">
        <f>AO38-AL38-AM38</f>
        <v/>
      </c>
      <c r="AQ38" s="20">
        <f>AQ37+AP38</f>
        <v/>
      </c>
      <c r="AR38" s="19">
        <f>AK38-AO38</f>
        <v/>
      </c>
      <c r="AS38" s="20">
        <f>AS37+AR38</f>
        <v/>
      </c>
      <c r="AT38" s="21">
        <f>IF(IF(Ipotesi!$B$15="margine",(AK38-AL38-AM38)/2,AP38)&gt;=Ipotesi!$B$14,AG38,"")</f>
        <v/>
      </c>
      <c r="AU38" s="21">
        <f>IF(AND(AG38&gt;1,AQ38&gt;=0),AG38,"")</f>
        <v/>
      </c>
    </row>
    <row r="39">
      <c r="A39" s="4" t="n">
        <v>22</v>
      </c>
      <c r="B39" s="4" t="n">
        <v>2</v>
      </c>
      <c r="C39" s="4">
        <f>ROUND((B$3+(B$13-B$3)*10/12)*Stagionalità!$B$13,0)</f>
        <v/>
      </c>
      <c r="D39" s="20">
        <f>C39*'Conti per prodotto'!$B$10</f>
        <v/>
      </c>
      <c r="E39" s="20">
        <f>C39*('Conti per prodotto'!$O$10+'Conti per prodotto'!$I$10)</f>
        <v/>
      </c>
      <c r="F39" s="20">
        <f>'Costi B2Brand'!$D$6</f>
        <v/>
      </c>
      <c r="G39" s="20">
        <f>B$8</f>
        <v/>
      </c>
      <c r="H39" s="20">
        <f>IF(Ipotesi!$B$15="margine",MAX(0,H38-(E38-F38-G38)),0)</f>
        <v/>
      </c>
      <c r="I39" s="20">
        <f>IF(Ipotesi!$B$15="margine",MIN(E39,F39+G39+H39+0.5*MAX(0,(E39-F39-G39)-H39)),C39*'Conti per prodotto'!$I$10)</f>
        <v/>
      </c>
      <c r="J39" s="19">
        <f>I39-F39-G39</f>
        <v/>
      </c>
      <c r="K39" s="20">
        <f>K38+J39</f>
        <v/>
      </c>
      <c r="L39" s="19">
        <f>E39-I39</f>
        <v/>
      </c>
      <c r="M39" s="20">
        <f>M38+L39</f>
        <v/>
      </c>
      <c r="N39" s="21">
        <f>IF(IF(Ipotesi!$B$15="margine",(E39-F39-G39)/2,J39)&gt;=Ipotesi!$B$14,A39,"")</f>
        <v/>
      </c>
      <c r="O39" s="21">
        <f>IF(AND(A39&gt;1,K39&gt;=0),A39,"")</f>
        <v/>
      </c>
      <c r="Q39" s="4" t="n">
        <v>22</v>
      </c>
      <c r="R39" s="4" t="n">
        <v>2</v>
      </c>
      <c r="S39" s="4">
        <f>ROUND((C$3+(C$13-C$3)*10/12)*Stagionalità!$B$13,0)</f>
        <v/>
      </c>
      <c r="T39" s="20">
        <f>S39*'Conti per prodotto'!$B$10</f>
        <v/>
      </c>
      <c r="U39" s="20">
        <f>S39*('Conti per prodotto'!$O$10+'Conti per prodotto'!$I$10)</f>
        <v/>
      </c>
      <c r="V39" s="20">
        <f>'Costi B2Brand'!$D$6</f>
        <v/>
      </c>
      <c r="W39" s="20">
        <f>C$8</f>
        <v/>
      </c>
      <c r="X39" s="20">
        <f>IF(Ipotesi!$B$15="margine",MAX(0,X38-(U38-V38-W38)),0)</f>
        <v/>
      </c>
      <c r="Y39" s="20">
        <f>IF(Ipotesi!$B$15="margine",MIN(U39,V39+W39+X39+0.5*MAX(0,(U39-V39-W39)-X39)),S39*'Conti per prodotto'!$I$10)</f>
        <v/>
      </c>
      <c r="Z39" s="19">
        <f>Y39-V39-W39</f>
        <v/>
      </c>
      <c r="AA39" s="20">
        <f>AA38+Z39</f>
        <v/>
      </c>
      <c r="AB39" s="19">
        <f>U39-Y39</f>
        <v/>
      </c>
      <c r="AC39" s="20">
        <f>AC38+AB39</f>
        <v/>
      </c>
      <c r="AD39" s="21">
        <f>IF(IF(Ipotesi!$B$15="margine",(U39-V39-W39)/2,Z39)&gt;=Ipotesi!$B$14,Q39,"")</f>
        <v/>
      </c>
      <c r="AE39" s="21">
        <f>IF(AND(Q39&gt;1,AA39&gt;=0),Q39,"")</f>
        <v/>
      </c>
      <c r="AG39" s="4" t="n">
        <v>22</v>
      </c>
      <c r="AH39" s="4" t="n">
        <v>2</v>
      </c>
      <c r="AI39" s="4">
        <f>ROUND((D$3+(D$13-D$3)*10/12)*Stagionalità!$B$13,0)</f>
        <v/>
      </c>
      <c r="AJ39" s="20">
        <f>AI39*'Conti per prodotto'!$B$10</f>
        <v/>
      </c>
      <c r="AK39" s="20">
        <f>AI39*('Conti per prodotto'!$O$10+'Conti per prodotto'!$I$10)</f>
        <v/>
      </c>
      <c r="AL39" s="20">
        <f>'Costi B2Brand'!$D$6</f>
        <v/>
      </c>
      <c r="AM39" s="20">
        <f>D$8</f>
        <v/>
      </c>
      <c r="AN39" s="20">
        <f>IF(Ipotesi!$B$15="margine",MAX(0,AN38-(AK38-AL38-AM38)),0)</f>
        <v/>
      </c>
      <c r="AO39" s="20">
        <f>IF(Ipotesi!$B$15="margine",MIN(AK39,AL39+AM39+AN39+0.5*MAX(0,(AK39-AL39-AM39)-AN39)),AI39*'Conti per prodotto'!$I$10)</f>
        <v/>
      </c>
      <c r="AP39" s="19">
        <f>AO39-AL39-AM39</f>
        <v/>
      </c>
      <c r="AQ39" s="20">
        <f>AQ38+AP39</f>
        <v/>
      </c>
      <c r="AR39" s="19">
        <f>AK39-AO39</f>
        <v/>
      </c>
      <c r="AS39" s="20">
        <f>AS38+AR39</f>
        <v/>
      </c>
      <c r="AT39" s="21">
        <f>IF(IF(Ipotesi!$B$15="margine",(AK39-AL39-AM39)/2,AP39)&gt;=Ipotesi!$B$14,AG39,"")</f>
        <v/>
      </c>
      <c r="AU39" s="21">
        <f>IF(AND(AG39&gt;1,AQ39&gt;=0),AG39,"")</f>
        <v/>
      </c>
    </row>
    <row r="40">
      <c r="A40" s="4" t="n">
        <v>23</v>
      </c>
      <c r="B40" s="4" t="n">
        <v>2</v>
      </c>
      <c r="C40" s="4">
        <f>ROUND((B$3+(B$13-B$3)*11/12)*Stagionalità!$B$2,0)</f>
        <v/>
      </c>
      <c r="D40" s="20">
        <f>C40*'Conti per prodotto'!$B$10</f>
        <v/>
      </c>
      <c r="E40" s="20">
        <f>C40*('Conti per prodotto'!$O$10+'Conti per prodotto'!$I$10)</f>
        <v/>
      </c>
      <c r="F40" s="20">
        <f>'Costi B2Brand'!$D$6</f>
        <v/>
      </c>
      <c r="G40" s="20">
        <f>B$8</f>
        <v/>
      </c>
      <c r="H40" s="20">
        <f>IF(Ipotesi!$B$15="margine",MAX(0,H39-(E39-F39-G39)),0)</f>
        <v/>
      </c>
      <c r="I40" s="20">
        <f>IF(Ipotesi!$B$15="margine",MIN(E40,F40+G40+H40+0.5*MAX(0,(E40-F40-G40)-H40)),C40*'Conti per prodotto'!$I$10)</f>
        <v/>
      </c>
      <c r="J40" s="19">
        <f>I40-F40-G40</f>
        <v/>
      </c>
      <c r="K40" s="20">
        <f>K39+J40</f>
        <v/>
      </c>
      <c r="L40" s="19">
        <f>E40-I40</f>
        <v/>
      </c>
      <c r="M40" s="20">
        <f>M39+L40</f>
        <v/>
      </c>
      <c r="N40" s="21">
        <f>IF(IF(Ipotesi!$B$15="margine",(E40-F40-G40)/2,J40)&gt;=Ipotesi!$B$14,A40,"")</f>
        <v/>
      </c>
      <c r="O40" s="21">
        <f>IF(AND(A40&gt;1,K40&gt;=0),A40,"")</f>
        <v/>
      </c>
      <c r="Q40" s="4" t="n">
        <v>23</v>
      </c>
      <c r="R40" s="4" t="n">
        <v>2</v>
      </c>
      <c r="S40" s="4">
        <f>ROUND((C$3+(C$13-C$3)*11/12)*Stagionalità!$B$2,0)</f>
        <v/>
      </c>
      <c r="T40" s="20">
        <f>S40*'Conti per prodotto'!$B$10</f>
        <v/>
      </c>
      <c r="U40" s="20">
        <f>S40*('Conti per prodotto'!$O$10+'Conti per prodotto'!$I$10)</f>
        <v/>
      </c>
      <c r="V40" s="20">
        <f>'Costi B2Brand'!$D$6</f>
        <v/>
      </c>
      <c r="W40" s="20">
        <f>C$8</f>
        <v/>
      </c>
      <c r="X40" s="20">
        <f>IF(Ipotesi!$B$15="margine",MAX(0,X39-(U39-V39-W39)),0)</f>
        <v/>
      </c>
      <c r="Y40" s="20">
        <f>IF(Ipotesi!$B$15="margine",MIN(U40,V40+W40+X40+0.5*MAX(0,(U40-V40-W40)-X40)),S40*'Conti per prodotto'!$I$10)</f>
        <v/>
      </c>
      <c r="Z40" s="19">
        <f>Y40-V40-W40</f>
        <v/>
      </c>
      <c r="AA40" s="20">
        <f>AA39+Z40</f>
        <v/>
      </c>
      <c r="AB40" s="19">
        <f>U40-Y40</f>
        <v/>
      </c>
      <c r="AC40" s="20">
        <f>AC39+AB40</f>
        <v/>
      </c>
      <c r="AD40" s="21">
        <f>IF(IF(Ipotesi!$B$15="margine",(U40-V40-W40)/2,Z40)&gt;=Ipotesi!$B$14,Q40,"")</f>
        <v/>
      </c>
      <c r="AE40" s="21">
        <f>IF(AND(Q40&gt;1,AA40&gt;=0),Q40,"")</f>
        <v/>
      </c>
      <c r="AG40" s="4" t="n">
        <v>23</v>
      </c>
      <c r="AH40" s="4" t="n">
        <v>2</v>
      </c>
      <c r="AI40" s="4">
        <f>ROUND((D$3+(D$13-D$3)*11/12)*Stagionalità!$B$2,0)</f>
        <v/>
      </c>
      <c r="AJ40" s="20">
        <f>AI40*'Conti per prodotto'!$B$10</f>
        <v/>
      </c>
      <c r="AK40" s="20">
        <f>AI40*('Conti per prodotto'!$O$10+'Conti per prodotto'!$I$10)</f>
        <v/>
      </c>
      <c r="AL40" s="20">
        <f>'Costi B2Brand'!$D$6</f>
        <v/>
      </c>
      <c r="AM40" s="20">
        <f>D$8</f>
        <v/>
      </c>
      <c r="AN40" s="20">
        <f>IF(Ipotesi!$B$15="margine",MAX(0,AN39-(AK39-AL39-AM39)),0)</f>
        <v/>
      </c>
      <c r="AO40" s="20">
        <f>IF(Ipotesi!$B$15="margine",MIN(AK40,AL40+AM40+AN40+0.5*MAX(0,(AK40-AL40-AM40)-AN40)),AI40*'Conti per prodotto'!$I$10)</f>
        <v/>
      </c>
      <c r="AP40" s="19">
        <f>AO40-AL40-AM40</f>
        <v/>
      </c>
      <c r="AQ40" s="20">
        <f>AQ39+AP40</f>
        <v/>
      </c>
      <c r="AR40" s="19">
        <f>AK40-AO40</f>
        <v/>
      </c>
      <c r="AS40" s="20">
        <f>AS39+AR40</f>
        <v/>
      </c>
      <c r="AT40" s="21">
        <f>IF(IF(Ipotesi!$B$15="margine",(AK40-AL40-AM40)/2,AP40)&gt;=Ipotesi!$B$14,AG40,"")</f>
        <v/>
      </c>
      <c r="AU40" s="21">
        <f>IF(AND(AG40&gt;1,AQ40&gt;=0),AG40,"")</f>
        <v/>
      </c>
    </row>
    <row r="41">
      <c r="A41" s="4" t="n">
        <v>24</v>
      </c>
      <c r="B41" s="4" t="n">
        <v>2</v>
      </c>
      <c r="C41" s="4">
        <f>ROUND((B$3+(B$13-B$3)*12/12)*Stagionalità!$B$3,0)</f>
        <v/>
      </c>
      <c r="D41" s="20">
        <f>C41*'Conti per prodotto'!$B$10</f>
        <v/>
      </c>
      <c r="E41" s="20">
        <f>C41*('Conti per prodotto'!$O$10+'Conti per prodotto'!$I$10)</f>
        <v/>
      </c>
      <c r="F41" s="20">
        <f>'Costi B2Brand'!$D$6</f>
        <v/>
      </c>
      <c r="G41" s="20">
        <f>B$8</f>
        <v/>
      </c>
      <c r="H41" s="20">
        <f>IF(Ipotesi!$B$15="margine",MAX(0,H40-(E40-F40-G40)),0)</f>
        <v/>
      </c>
      <c r="I41" s="20">
        <f>IF(Ipotesi!$B$15="margine",MIN(E41,F41+G41+H41+0.5*MAX(0,(E41-F41-G41)-H41)),C41*'Conti per prodotto'!$I$10)</f>
        <v/>
      </c>
      <c r="J41" s="19">
        <f>I41-F41-G41</f>
        <v/>
      </c>
      <c r="K41" s="20">
        <f>K40+J41</f>
        <v/>
      </c>
      <c r="L41" s="19">
        <f>E41-I41</f>
        <v/>
      </c>
      <c r="M41" s="20">
        <f>M40+L41</f>
        <v/>
      </c>
      <c r="N41" s="21">
        <f>IF(IF(Ipotesi!$B$15="margine",(E41-F41-G41)/2,J41)&gt;=Ipotesi!$B$14,A41,"")</f>
        <v/>
      </c>
      <c r="O41" s="21">
        <f>IF(AND(A41&gt;1,K41&gt;=0),A41,"")</f>
        <v/>
      </c>
      <c r="Q41" s="4" t="n">
        <v>24</v>
      </c>
      <c r="R41" s="4" t="n">
        <v>2</v>
      </c>
      <c r="S41" s="4">
        <f>ROUND((C$3+(C$13-C$3)*12/12)*Stagionalità!$B$3,0)</f>
        <v/>
      </c>
      <c r="T41" s="20">
        <f>S41*'Conti per prodotto'!$B$10</f>
        <v/>
      </c>
      <c r="U41" s="20">
        <f>S41*('Conti per prodotto'!$O$10+'Conti per prodotto'!$I$10)</f>
        <v/>
      </c>
      <c r="V41" s="20">
        <f>'Costi B2Brand'!$D$6</f>
        <v/>
      </c>
      <c r="W41" s="20">
        <f>C$8</f>
        <v/>
      </c>
      <c r="X41" s="20">
        <f>IF(Ipotesi!$B$15="margine",MAX(0,X40-(U40-V40-W40)),0)</f>
        <v/>
      </c>
      <c r="Y41" s="20">
        <f>IF(Ipotesi!$B$15="margine",MIN(U41,V41+W41+X41+0.5*MAX(0,(U41-V41-W41)-X41)),S41*'Conti per prodotto'!$I$10)</f>
        <v/>
      </c>
      <c r="Z41" s="19">
        <f>Y41-V41-W41</f>
        <v/>
      </c>
      <c r="AA41" s="20">
        <f>AA40+Z41</f>
        <v/>
      </c>
      <c r="AB41" s="19">
        <f>U41-Y41</f>
        <v/>
      </c>
      <c r="AC41" s="20">
        <f>AC40+AB41</f>
        <v/>
      </c>
      <c r="AD41" s="21">
        <f>IF(IF(Ipotesi!$B$15="margine",(U41-V41-W41)/2,Z41)&gt;=Ipotesi!$B$14,Q41,"")</f>
        <v/>
      </c>
      <c r="AE41" s="21">
        <f>IF(AND(Q41&gt;1,AA41&gt;=0),Q41,"")</f>
        <v/>
      </c>
      <c r="AG41" s="4" t="n">
        <v>24</v>
      </c>
      <c r="AH41" s="4" t="n">
        <v>2</v>
      </c>
      <c r="AI41" s="4">
        <f>ROUND((D$3+(D$13-D$3)*12/12)*Stagionalità!$B$3,0)</f>
        <v/>
      </c>
      <c r="AJ41" s="20">
        <f>AI41*'Conti per prodotto'!$B$10</f>
        <v/>
      </c>
      <c r="AK41" s="20">
        <f>AI41*('Conti per prodotto'!$O$10+'Conti per prodotto'!$I$10)</f>
        <v/>
      </c>
      <c r="AL41" s="20">
        <f>'Costi B2Brand'!$D$6</f>
        <v/>
      </c>
      <c r="AM41" s="20">
        <f>D$8</f>
        <v/>
      </c>
      <c r="AN41" s="20">
        <f>IF(Ipotesi!$B$15="margine",MAX(0,AN40-(AK40-AL40-AM40)),0)</f>
        <v/>
      </c>
      <c r="AO41" s="20">
        <f>IF(Ipotesi!$B$15="margine",MIN(AK41,AL41+AM41+AN41+0.5*MAX(0,(AK41-AL41-AM41)-AN41)),AI41*'Conti per prodotto'!$I$10)</f>
        <v/>
      </c>
      <c r="AP41" s="19">
        <f>AO41-AL41-AM41</f>
        <v/>
      </c>
      <c r="AQ41" s="20">
        <f>AQ40+AP41</f>
        <v/>
      </c>
      <c r="AR41" s="19">
        <f>AK41-AO41</f>
        <v/>
      </c>
      <c r="AS41" s="20">
        <f>AS40+AR41</f>
        <v/>
      </c>
      <c r="AT41" s="21">
        <f>IF(IF(Ipotesi!$B$15="margine",(AK41-AL41-AM41)/2,AP41)&gt;=Ipotesi!$B$14,AG41,"")</f>
        <v/>
      </c>
      <c r="AU41" s="21">
        <f>IF(AND(AG41&gt;1,AQ41&gt;=0),AG41,"")</f>
        <v/>
      </c>
    </row>
    <row r="42">
      <c r="A42" s="4" t="n">
        <v>25</v>
      </c>
      <c r="B42" s="4" t="n">
        <v>3</v>
      </c>
      <c r="C42" s="4">
        <f>ROUND((B$13+(B$14-B$13)*1/12)*Stagionalità!$B$4,0)</f>
        <v/>
      </c>
      <c r="D42" s="20">
        <f>C42*'Conti per prodotto'!$B$10</f>
        <v/>
      </c>
      <c r="E42" s="20">
        <f>C42*('Conti per prodotto'!$O$10+'Conti per prodotto'!$I$10)</f>
        <v/>
      </c>
      <c r="F42" s="20">
        <f>'Costi B2Brand'!$E$6</f>
        <v/>
      </c>
      <c r="G42" s="20">
        <f>B$9</f>
        <v/>
      </c>
      <c r="H42" s="20">
        <f>IF(Ipotesi!$B$15="margine",MAX(0,H41-(E41-F41-G41)),0)</f>
        <v/>
      </c>
      <c r="I42" s="20">
        <f>IF(Ipotesi!$B$15="margine",MIN(E42,F42+G42+H42+0.5*MAX(0,(E42-F42-G42)-H42)),C42*'Conti per prodotto'!$I$10)</f>
        <v/>
      </c>
      <c r="J42" s="19">
        <f>I42-F42-G42</f>
        <v/>
      </c>
      <c r="K42" s="20">
        <f>K41+J42</f>
        <v/>
      </c>
      <c r="L42" s="19">
        <f>E42-I42</f>
        <v/>
      </c>
      <c r="M42" s="20">
        <f>M41+L42</f>
        <v/>
      </c>
      <c r="N42" s="21">
        <f>IF(IF(Ipotesi!$B$15="margine",(E42-F42-G42)/2,J42)&gt;=Ipotesi!$B$14,A42,"")</f>
        <v/>
      </c>
      <c r="O42" s="21">
        <f>IF(AND(A42&gt;1,K42&gt;=0),A42,"")</f>
        <v/>
      </c>
      <c r="Q42" s="4" t="n">
        <v>25</v>
      </c>
      <c r="R42" s="4" t="n">
        <v>3</v>
      </c>
      <c r="S42" s="4">
        <f>ROUND((C$13+(C$14-C$13)*1/12)*Stagionalità!$B$4,0)</f>
        <v/>
      </c>
      <c r="T42" s="20">
        <f>S42*'Conti per prodotto'!$B$10</f>
        <v/>
      </c>
      <c r="U42" s="20">
        <f>S42*('Conti per prodotto'!$O$10+'Conti per prodotto'!$I$10)</f>
        <v/>
      </c>
      <c r="V42" s="20">
        <f>'Costi B2Brand'!$E$6</f>
        <v/>
      </c>
      <c r="W42" s="20">
        <f>C$9</f>
        <v/>
      </c>
      <c r="X42" s="20">
        <f>IF(Ipotesi!$B$15="margine",MAX(0,X41-(U41-V41-W41)),0)</f>
        <v/>
      </c>
      <c r="Y42" s="20">
        <f>IF(Ipotesi!$B$15="margine",MIN(U42,V42+W42+X42+0.5*MAX(0,(U42-V42-W42)-X42)),S42*'Conti per prodotto'!$I$10)</f>
        <v/>
      </c>
      <c r="Z42" s="19">
        <f>Y42-V42-W42</f>
        <v/>
      </c>
      <c r="AA42" s="20">
        <f>AA41+Z42</f>
        <v/>
      </c>
      <c r="AB42" s="19">
        <f>U42-Y42</f>
        <v/>
      </c>
      <c r="AC42" s="20">
        <f>AC41+AB42</f>
        <v/>
      </c>
      <c r="AD42" s="21">
        <f>IF(IF(Ipotesi!$B$15="margine",(U42-V42-W42)/2,Z42)&gt;=Ipotesi!$B$14,Q42,"")</f>
        <v/>
      </c>
      <c r="AE42" s="21">
        <f>IF(AND(Q42&gt;1,AA42&gt;=0),Q42,"")</f>
        <v/>
      </c>
      <c r="AG42" s="4" t="n">
        <v>25</v>
      </c>
      <c r="AH42" s="4" t="n">
        <v>3</v>
      </c>
      <c r="AI42" s="4">
        <f>ROUND((D$13+(D$14-D$13)*1/12)*Stagionalità!$B$4,0)</f>
        <v/>
      </c>
      <c r="AJ42" s="20">
        <f>AI42*'Conti per prodotto'!$B$10</f>
        <v/>
      </c>
      <c r="AK42" s="20">
        <f>AI42*('Conti per prodotto'!$O$10+'Conti per prodotto'!$I$10)</f>
        <v/>
      </c>
      <c r="AL42" s="20">
        <f>'Costi B2Brand'!$E$6</f>
        <v/>
      </c>
      <c r="AM42" s="20">
        <f>D$9</f>
        <v/>
      </c>
      <c r="AN42" s="20">
        <f>IF(Ipotesi!$B$15="margine",MAX(0,AN41-(AK41-AL41-AM41)),0)</f>
        <v/>
      </c>
      <c r="AO42" s="20">
        <f>IF(Ipotesi!$B$15="margine",MIN(AK42,AL42+AM42+AN42+0.5*MAX(0,(AK42-AL42-AM42)-AN42)),AI42*'Conti per prodotto'!$I$10)</f>
        <v/>
      </c>
      <c r="AP42" s="19">
        <f>AO42-AL42-AM42</f>
        <v/>
      </c>
      <c r="AQ42" s="20">
        <f>AQ41+AP42</f>
        <v/>
      </c>
      <c r="AR42" s="19">
        <f>AK42-AO42</f>
        <v/>
      </c>
      <c r="AS42" s="20">
        <f>AS41+AR42</f>
        <v/>
      </c>
      <c r="AT42" s="21">
        <f>IF(IF(Ipotesi!$B$15="margine",(AK42-AL42-AM42)/2,AP42)&gt;=Ipotesi!$B$14,AG42,"")</f>
        <v/>
      </c>
      <c r="AU42" s="21">
        <f>IF(AND(AG42&gt;1,AQ42&gt;=0),AG42,"")</f>
        <v/>
      </c>
    </row>
    <row r="43">
      <c r="A43" s="4" t="n">
        <v>26</v>
      </c>
      <c r="B43" s="4" t="n">
        <v>3</v>
      </c>
      <c r="C43" s="4">
        <f>ROUND((B$13+(B$14-B$13)*2/12)*Stagionalità!$B$5,0)</f>
        <v/>
      </c>
      <c r="D43" s="20">
        <f>C43*'Conti per prodotto'!$B$10</f>
        <v/>
      </c>
      <c r="E43" s="20">
        <f>C43*('Conti per prodotto'!$O$10+'Conti per prodotto'!$I$10)</f>
        <v/>
      </c>
      <c r="F43" s="20">
        <f>'Costi B2Brand'!$E$6</f>
        <v/>
      </c>
      <c r="G43" s="20">
        <f>B$9</f>
        <v/>
      </c>
      <c r="H43" s="20">
        <f>IF(Ipotesi!$B$15="margine",MAX(0,H42-(E42-F42-G42)),0)</f>
        <v/>
      </c>
      <c r="I43" s="20">
        <f>IF(Ipotesi!$B$15="margine",MIN(E43,F43+G43+H43+0.5*MAX(0,(E43-F43-G43)-H43)),C43*'Conti per prodotto'!$I$10)</f>
        <v/>
      </c>
      <c r="J43" s="19">
        <f>I43-F43-G43</f>
        <v/>
      </c>
      <c r="K43" s="20">
        <f>K42+J43</f>
        <v/>
      </c>
      <c r="L43" s="19">
        <f>E43-I43</f>
        <v/>
      </c>
      <c r="M43" s="20">
        <f>M42+L43</f>
        <v/>
      </c>
      <c r="N43" s="21">
        <f>IF(IF(Ipotesi!$B$15="margine",(E43-F43-G43)/2,J43)&gt;=Ipotesi!$B$14,A43,"")</f>
        <v/>
      </c>
      <c r="O43" s="21">
        <f>IF(AND(A43&gt;1,K43&gt;=0),A43,"")</f>
        <v/>
      </c>
      <c r="Q43" s="4" t="n">
        <v>26</v>
      </c>
      <c r="R43" s="4" t="n">
        <v>3</v>
      </c>
      <c r="S43" s="4">
        <f>ROUND((C$13+(C$14-C$13)*2/12)*Stagionalità!$B$5,0)</f>
        <v/>
      </c>
      <c r="T43" s="20">
        <f>S43*'Conti per prodotto'!$B$10</f>
        <v/>
      </c>
      <c r="U43" s="20">
        <f>S43*('Conti per prodotto'!$O$10+'Conti per prodotto'!$I$10)</f>
        <v/>
      </c>
      <c r="V43" s="20">
        <f>'Costi B2Brand'!$E$6</f>
        <v/>
      </c>
      <c r="W43" s="20">
        <f>C$9</f>
        <v/>
      </c>
      <c r="X43" s="20">
        <f>IF(Ipotesi!$B$15="margine",MAX(0,X42-(U42-V42-W42)),0)</f>
        <v/>
      </c>
      <c r="Y43" s="20">
        <f>IF(Ipotesi!$B$15="margine",MIN(U43,V43+W43+X43+0.5*MAX(0,(U43-V43-W43)-X43)),S43*'Conti per prodotto'!$I$10)</f>
        <v/>
      </c>
      <c r="Z43" s="19">
        <f>Y43-V43-W43</f>
        <v/>
      </c>
      <c r="AA43" s="20">
        <f>AA42+Z43</f>
        <v/>
      </c>
      <c r="AB43" s="19">
        <f>U43-Y43</f>
        <v/>
      </c>
      <c r="AC43" s="20">
        <f>AC42+AB43</f>
        <v/>
      </c>
      <c r="AD43" s="21">
        <f>IF(IF(Ipotesi!$B$15="margine",(U43-V43-W43)/2,Z43)&gt;=Ipotesi!$B$14,Q43,"")</f>
        <v/>
      </c>
      <c r="AE43" s="21">
        <f>IF(AND(Q43&gt;1,AA43&gt;=0),Q43,"")</f>
        <v/>
      </c>
      <c r="AG43" s="4" t="n">
        <v>26</v>
      </c>
      <c r="AH43" s="4" t="n">
        <v>3</v>
      </c>
      <c r="AI43" s="4">
        <f>ROUND((D$13+(D$14-D$13)*2/12)*Stagionalità!$B$5,0)</f>
        <v/>
      </c>
      <c r="AJ43" s="20">
        <f>AI43*'Conti per prodotto'!$B$10</f>
        <v/>
      </c>
      <c r="AK43" s="20">
        <f>AI43*('Conti per prodotto'!$O$10+'Conti per prodotto'!$I$10)</f>
        <v/>
      </c>
      <c r="AL43" s="20">
        <f>'Costi B2Brand'!$E$6</f>
        <v/>
      </c>
      <c r="AM43" s="20">
        <f>D$9</f>
        <v/>
      </c>
      <c r="AN43" s="20">
        <f>IF(Ipotesi!$B$15="margine",MAX(0,AN42-(AK42-AL42-AM42)),0)</f>
        <v/>
      </c>
      <c r="AO43" s="20">
        <f>IF(Ipotesi!$B$15="margine",MIN(AK43,AL43+AM43+AN43+0.5*MAX(0,(AK43-AL43-AM43)-AN43)),AI43*'Conti per prodotto'!$I$10)</f>
        <v/>
      </c>
      <c r="AP43" s="19">
        <f>AO43-AL43-AM43</f>
        <v/>
      </c>
      <c r="AQ43" s="20">
        <f>AQ42+AP43</f>
        <v/>
      </c>
      <c r="AR43" s="19">
        <f>AK43-AO43</f>
        <v/>
      </c>
      <c r="AS43" s="20">
        <f>AS42+AR43</f>
        <v/>
      </c>
      <c r="AT43" s="21">
        <f>IF(IF(Ipotesi!$B$15="margine",(AK43-AL43-AM43)/2,AP43)&gt;=Ipotesi!$B$14,AG43,"")</f>
        <v/>
      </c>
      <c r="AU43" s="21">
        <f>IF(AND(AG43&gt;1,AQ43&gt;=0),AG43,"")</f>
        <v/>
      </c>
    </row>
    <row r="44">
      <c r="A44" s="4" t="n">
        <v>27</v>
      </c>
      <c r="B44" s="4" t="n">
        <v>3</v>
      </c>
      <c r="C44" s="4">
        <f>ROUND((B$13+(B$14-B$13)*3/12)*Stagionalità!$B$6,0)</f>
        <v/>
      </c>
      <c r="D44" s="20">
        <f>C44*'Conti per prodotto'!$B$10</f>
        <v/>
      </c>
      <c r="E44" s="20">
        <f>C44*('Conti per prodotto'!$O$10+'Conti per prodotto'!$I$10)</f>
        <v/>
      </c>
      <c r="F44" s="20">
        <f>'Costi B2Brand'!$E$6</f>
        <v/>
      </c>
      <c r="G44" s="20">
        <f>B$9</f>
        <v/>
      </c>
      <c r="H44" s="20">
        <f>IF(Ipotesi!$B$15="margine",MAX(0,H43-(E43-F43-G43)),0)</f>
        <v/>
      </c>
      <c r="I44" s="20">
        <f>IF(Ipotesi!$B$15="margine",MIN(E44,F44+G44+H44+0.5*MAX(0,(E44-F44-G44)-H44)),C44*'Conti per prodotto'!$I$10)</f>
        <v/>
      </c>
      <c r="J44" s="19">
        <f>I44-F44-G44</f>
        <v/>
      </c>
      <c r="K44" s="20">
        <f>K43+J44</f>
        <v/>
      </c>
      <c r="L44" s="19">
        <f>E44-I44</f>
        <v/>
      </c>
      <c r="M44" s="20">
        <f>M43+L44</f>
        <v/>
      </c>
      <c r="N44" s="21">
        <f>IF(IF(Ipotesi!$B$15="margine",(E44-F44-G44)/2,J44)&gt;=Ipotesi!$B$14,A44,"")</f>
        <v/>
      </c>
      <c r="O44" s="21">
        <f>IF(AND(A44&gt;1,K44&gt;=0),A44,"")</f>
        <v/>
      </c>
      <c r="Q44" s="4" t="n">
        <v>27</v>
      </c>
      <c r="R44" s="4" t="n">
        <v>3</v>
      </c>
      <c r="S44" s="4">
        <f>ROUND((C$13+(C$14-C$13)*3/12)*Stagionalità!$B$6,0)</f>
        <v/>
      </c>
      <c r="T44" s="20">
        <f>S44*'Conti per prodotto'!$B$10</f>
        <v/>
      </c>
      <c r="U44" s="20">
        <f>S44*('Conti per prodotto'!$O$10+'Conti per prodotto'!$I$10)</f>
        <v/>
      </c>
      <c r="V44" s="20">
        <f>'Costi B2Brand'!$E$6</f>
        <v/>
      </c>
      <c r="W44" s="20">
        <f>C$9</f>
        <v/>
      </c>
      <c r="X44" s="20">
        <f>IF(Ipotesi!$B$15="margine",MAX(0,X43-(U43-V43-W43)),0)</f>
        <v/>
      </c>
      <c r="Y44" s="20">
        <f>IF(Ipotesi!$B$15="margine",MIN(U44,V44+W44+X44+0.5*MAX(0,(U44-V44-W44)-X44)),S44*'Conti per prodotto'!$I$10)</f>
        <v/>
      </c>
      <c r="Z44" s="19">
        <f>Y44-V44-W44</f>
        <v/>
      </c>
      <c r="AA44" s="20">
        <f>AA43+Z44</f>
        <v/>
      </c>
      <c r="AB44" s="19">
        <f>U44-Y44</f>
        <v/>
      </c>
      <c r="AC44" s="20">
        <f>AC43+AB44</f>
        <v/>
      </c>
      <c r="AD44" s="21">
        <f>IF(IF(Ipotesi!$B$15="margine",(U44-V44-W44)/2,Z44)&gt;=Ipotesi!$B$14,Q44,"")</f>
        <v/>
      </c>
      <c r="AE44" s="21">
        <f>IF(AND(Q44&gt;1,AA44&gt;=0),Q44,"")</f>
        <v/>
      </c>
      <c r="AG44" s="4" t="n">
        <v>27</v>
      </c>
      <c r="AH44" s="4" t="n">
        <v>3</v>
      </c>
      <c r="AI44" s="4">
        <f>ROUND((D$13+(D$14-D$13)*3/12)*Stagionalità!$B$6,0)</f>
        <v/>
      </c>
      <c r="AJ44" s="20">
        <f>AI44*'Conti per prodotto'!$B$10</f>
        <v/>
      </c>
      <c r="AK44" s="20">
        <f>AI44*('Conti per prodotto'!$O$10+'Conti per prodotto'!$I$10)</f>
        <v/>
      </c>
      <c r="AL44" s="20">
        <f>'Costi B2Brand'!$E$6</f>
        <v/>
      </c>
      <c r="AM44" s="20">
        <f>D$9</f>
        <v/>
      </c>
      <c r="AN44" s="20">
        <f>IF(Ipotesi!$B$15="margine",MAX(0,AN43-(AK43-AL43-AM43)),0)</f>
        <v/>
      </c>
      <c r="AO44" s="20">
        <f>IF(Ipotesi!$B$15="margine",MIN(AK44,AL44+AM44+AN44+0.5*MAX(0,(AK44-AL44-AM44)-AN44)),AI44*'Conti per prodotto'!$I$10)</f>
        <v/>
      </c>
      <c r="AP44" s="19">
        <f>AO44-AL44-AM44</f>
        <v/>
      </c>
      <c r="AQ44" s="20">
        <f>AQ43+AP44</f>
        <v/>
      </c>
      <c r="AR44" s="19">
        <f>AK44-AO44</f>
        <v/>
      </c>
      <c r="AS44" s="20">
        <f>AS43+AR44</f>
        <v/>
      </c>
      <c r="AT44" s="21">
        <f>IF(IF(Ipotesi!$B$15="margine",(AK44-AL44-AM44)/2,AP44)&gt;=Ipotesi!$B$14,AG44,"")</f>
        <v/>
      </c>
      <c r="AU44" s="21">
        <f>IF(AND(AG44&gt;1,AQ44&gt;=0),AG44,"")</f>
        <v/>
      </c>
    </row>
    <row r="45">
      <c r="A45" s="4" t="n">
        <v>28</v>
      </c>
      <c r="B45" s="4" t="n">
        <v>3</v>
      </c>
      <c r="C45" s="4">
        <f>ROUND((B$13+(B$14-B$13)*4/12)*Stagionalità!$B$7,0)</f>
        <v/>
      </c>
      <c r="D45" s="20">
        <f>C45*'Conti per prodotto'!$B$10</f>
        <v/>
      </c>
      <c r="E45" s="20">
        <f>C45*('Conti per prodotto'!$O$10+'Conti per prodotto'!$I$10)</f>
        <v/>
      </c>
      <c r="F45" s="20">
        <f>'Costi B2Brand'!$E$6</f>
        <v/>
      </c>
      <c r="G45" s="20">
        <f>B$9</f>
        <v/>
      </c>
      <c r="H45" s="20">
        <f>IF(Ipotesi!$B$15="margine",MAX(0,H44-(E44-F44-G44)),0)</f>
        <v/>
      </c>
      <c r="I45" s="20">
        <f>IF(Ipotesi!$B$15="margine",MIN(E45,F45+G45+H45+0.5*MAX(0,(E45-F45-G45)-H45)),C45*'Conti per prodotto'!$I$10)</f>
        <v/>
      </c>
      <c r="J45" s="19">
        <f>I45-F45-G45</f>
        <v/>
      </c>
      <c r="K45" s="20">
        <f>K44+J45</f>
        <v/>
      </c>
      <c r="L45" s="19">
        <f>E45-I45</f>
        <v/>
      </c>
      <c r="M45" s="20">
        <f>M44+L45</f>
        <v/>
      </c>
      <c r="N45" s="21">
        <f>IF(IF(Ipotesi!$B$15="margine",(E45-F45-G45)/2,J45)&gt;=Ipotesi!$B$14,A45,"")</f>
        <v/>
      </c>
      <c r="O45" s="21">
        <f>IF(AND(A45&gt;1,K45&gt;=0),A45,"")</f>
        <v/>
      </c>
      <c r="Q45" s="4" t="n">
        <v>28</v>
      </c>
      <c r="R45" s="4" t="n">
        <v>3</v>
      </c>
      <c r="S45" s="4">
        <f>ROUND((C$13+(C$14-C$13)*4/12)*Stagionalità!$B$7,0)</f>
        <v/>
      </c>
      <c r="T45" s="20">
        <f>S45*'Conti per prodotto'!$B$10</f>
        <v/>
      </c>
      <c r="U45" s="20">
        <f>S45*('Conti per prodotto'!$O$10+'Conti per prodotto'!$I$10)</f>
        <v/>
      </c>
      <c r="V45" s="20">
        <f>'Costi B2Brand'!$E$6</f>
        <v/>
      </c>
      <c r="W45" s="20">
        <f>C$9</f>
        <v/>
      </c>
      <c r="X45" s="20">
        <f>IF(Ipotesi!$B$15="margine",MAX(0,X44-(U44-V44-W44)),0)</f>
        <v/>
      </c>
      <c r="Y45" s="20">
        <f>IF(Ipotesi!$B$15="margine",MIN(U45,V45+W45+X45+0.5*MAX(0,(U45-V45-W45)-X45)),S45*'Conti per prodotto'!$I$10)</f>
        <v/>
      </c>
      <c r="Z45" s="19">
        <f>Y45-V45-W45</f>
        <v/>
      </c>
      <c r="AA45" s="20">
        <f>AA44+Z45</f>
        <v/>
      </c>
      <c r="AB45" s="19">
        <f>U45-Y45</f>
        <v/>
      </c>
      <c r="AC45" s="20">
        <f>AC44+AB45</f>
        <v/>
      </c>
      <c r="AD45" s="21">
        <f>IF(IF(Ipotesi!$B$15="margine",(U45-V45-W45)/2,Z45)&gt;=Ipotesi!$B$14,Q45,"")</f>
        <v/>
      </c>
      <c r="AE45" s="21">
        <f>IF(AND(Q45&gt;1,AA45&gt;=0),Q45,"")</f>
        <v/>
      </c>
      <c r="AG45" s="4" t="n">
        <v>28</v>
      </c>
      <c r="AH45" s="4" t="n">
        <v>3</v>
      </c>
      <c r="AI45" s="4">
        <f>ROUND((D$13+(D$14-D$13)*4/12)*Stagionalità!$B$7,0)</f>
        <v/>
      </c>
      <c r="AJ45" s="20">
        <f>AI45*'Conti per prodotto'!$B$10</f>
        <v/>
      </c>
      <c r="AK45" s="20">
        <f>AI45*('Conti per prodotto'!$O$10+'Conti per prodotto'!$I$10)</f>
        <v/>
      </c>
      <c r="AL45" s="20">
        <f>'Costi B2Brand'!$E$6</f>
        <v/>
      </c>
      <c r="AM45" s="20">
        <f>D$9</f>
        <v/>
      </c>
      <c r="AN45" s="20">
        <f>IF(Ipotesi!$B$15="margine",MAX(0,AN44-(AK44-AL44-AM44)),0)</f>
        <v/>
      </c>
      <c r="AO45" s="20">
        <f>IF(Ipotesi!$B$15="margine",MIN(AK45,AL45+AM45+AN45+0.5*MAX(0,(AK45-AL45-AM45)-AN45)),AI45*'Conti per prodotto'!$I$10)</f>
        <v/>
      </c>
      <c r="AP45" s="19">
        <f>AO45-AL45-AM45</f>
        <v/>
      </c>
      <c r="AQ45" s="20">
        <f>AQ44+AP45</f>
        <v/>
      </c>
      <c r="AR45" s="19">
        <f>AK45-AO45</f>
        <v/>
      </c>
      <c r="AS45" s="20">
        <f>AS44+AR45</f>
        <v/>
      </c>
      <c r="AT45" s="21">
        <f>IF(IF(Ipotesi!$B$15="margine",(AK45-AL45-AM45)/2,AP45)&gt;=Ipotesi!$B$14,AG45,"")</f>
        <v/>
      </c>
      <c r="AU45" s="21">
        <f>IF(AND(AG45&gt;1,AQ45&gt;=0),AG45,"")</f>
        <v/>
      </c>
    </row>
    <row r="46">
      <c r="A46" s="4" t="n">
        <v>29</v>
      </c>
      <c r="B46" s="4" t="n">
        <v>3</v>
      </c>
      <c r="C46" s="4">
        <f>ROUND((B$13+(B$14-B$13)*5/12)*Stagionalità!$B$8,0)</f>
        <v/>
      </c>
      <c r="D46" s="20">
        <f>C46*'Conti per prodotto'!$B$10</f>
        <v/>
      </c>
      <c r="E46" s="20">
        <f>C46*('Conti per prodotto'!$O$10+'Conti per prodotto'!$I$10)</f>
        <v/>
      </c>
      <c r="F46" s="20">
        <f>'Costi B2Brand'!$E$6</f>
        <v/>
      </c>
      <c r="G46" s="20">
        <f>B$9</f>
        <v/>
      </c>
      <c r="H46" s="20">
        <f>IF(Ipotesi!$B$15="margine",MAX(0,H45-(E45-F45-G45)),0)</f>
        <v/>
      </c>
      <c r="I46" s="20">
        <f>IF(Ipotesi!$B$15="margine",MIN(E46,F46+G46+H46+0.5*MAX(0,(E46-F46-G46)-H46)),C46*'Conti per prodotto'!$I$10)</f>
        <v/>
      </c>
      <c r="J46" s="19">
        <f>I46-F46-G46</f>
        <v/>
      </c>
      <c r="K46" s="20">
        <f>K45+J46</f>
        <v/>
      </c>
      <c r="L46" s="19">
        <f>E46-I46</f>
        <v/>
      </c>
      <c r="M46" s="20">
        <f>M45+L46</f>
        <v/>
      </c>
      <c r="N46" s="21">
        <f>IF(IF(Ipotesi!$B$15="margine",(E46-F46-G46)/2,J46)&gt;=Ipotesi!$B$14,A46,"")</f>
        <v/>
      </c>
      <c r="O46" s="21">
        <f>IF(AND(A46&gt;1,K46&gt;=0),A46,"")</f>
        <v/>
      </c>
      <c r="Q46" s="4" t="n">
        <v>29</v>
      </c>
      <c r="R46" s="4" t="n">
        <v>3</v>
      </c>
      <c r="S46" s="4">
        <f>ROUND((C$13+(C$14-C$13)*5/12)*Stagionalità!$B$8,0)</f>
        <v/>
      </c>
      <c r="T46" s="20">
        <f>S46*'Conti per prodotto'!$B$10</f>
        <v/>
      </c>
      <c r="U46" s="20">
        <f>S46*('Conti per prodotto'!$O$10+'Conti per prodotto'!$I$10)</f>
        <v/>
      </c>
      <c r="V46" s="20">
        <f>'Costi B2Brand'!$E$6</f>
        <v/>
      </c>
      <c r="W46" s="20">
        <f>C$9</f>
        <v/>
      </c>
      <c r="X46" s="20">
        <f>IF(Ipotesi!$B$15="margine",MAX(0,X45-(U45-V45-W45)),0)</f>
        <v/>
      </c>
      <c r="Y46" s="20">
        <f>IF(Ipotesi!$B$15="margine",MIN(U46,V46+W46+X46+0.5*MAX(0,(U46-V46-W46)-X46)),S46*'Conti per prodotto'!$I$10)</f>
        <v/>
      </c>
      <c r="Z46" s="19">
        <f>Y46-V46-W46</f>
        <v/>
      </c>
      <c r="AA46" s="20">
        <f>AA45+Z46</f>
        <v/>
      </c>
      <c r="AB46" s="19">
        <f>U46-Y46</f>
        <v/>
      </c>
      <c r="AC46" s="20">
        <f>AC45+AB46</f>
        <v/>
      </c>
      <c r="AD46" s="21">
        <f>IF(IF(Ipotesi!$B$15="margine",(U46-V46-W46)/2,Z46)&gt;=Ipotesi!$B$14,Q46,"")</f>
        <v/>
      </c>
      <c r="AE46" s="21">
        <f>IF(AND(Q46&gt;1,AA46&gt;=0),Q46,"")</f>
        <v/>
      </c>
      <c r="AG46" s="4" t="n">
        <v>29</v>
      </c>
      <c r="AH46" s="4" t="n">
        <v>3</v>
      </c>
      <c r="AI46" s="4">
        <f>ROUND((D$13+(D$14-D$13)*5/12)*Stagionalità!$B$8,0)</f>
        <v/>
      </c>
      <c r="AJ46" s="20">
        <f>AI46*'Conti per prodotto'!$B$10</f>
        <v/>
      </c>
      <c r="AK46" s="20">
        <f>AI46*('Conti per prodotto'!$O$10+'Conti per prodotto'!$I$10)</f>
        <v/>
      </c>
      <c r="AL46" s="20">
        <f>'Costi B2Brand'!$E$6</f>
        <v/>
      </c>
      <c r="AM46" s="20">
        <f>D$9</f>
        <v/>
      </c>
      <c r="AN46" s="20">
        <f>IF(Ipotesi!$B$15="margine",MAX(0,AN45-(AK45-AL45-AM45)),0)</f>
        <v/>
      </c>
      <c r="AO46" s="20">
        <f>IF(Ipotesi!$B$15="margine",MIN(AK46,AL46+AM46+AN46+0.5*MAX(0,(AK46-AL46-AM46)-AN46)),AI46*'Conti per prodotto'!$I$10)</f>
        <v/>
      </c>
      <c r="AP46" s="19">
        <f>AO46-AL46-AM46</f>
        <v/>
      </c>
      <c r="AQ46" s="20">
        <f>AQ45+AP46</f>
        <v/>
      </c>
      <c r="AR46" s="19">
        <f>AK46-AO46</f>
        <v/>
      </c>
      <c r="AS46" s="20">
        <f>AS45+AR46</f>
        <v/>
      </c>
      <c r="AT46" s="21">
        <f>IF(IF(Ipotesi!$B$15="margine",(AK46-AL46-AM46)/2,AP46)&gt;=Ipotesi!$B$14,AG46,"")</f>
        <v/>
      </c>
      <c r="AU46" s="21">
        <f>IF(AND(AG46&gt;1,AQ46&gt;=0),AG46,"")</f>
        <v/>
      </c>
    </row>
    <row r="47">
      <c r="A47" s="4" t="n">
        <v>30</v>
      </c>
      <c r="B47" s="4" t="n">
        <v>3</v>
      </c>
      <c r="C47" s="4">
        <f>ROUND((B$13+(B$14-B$13)*6/12)*Stagionalità!$B$9,0)</f>
        <v/>
      </c>
      <c r="D47" s="20">
        <f>C47*'Conti per prodotto'!$B$10</f>
        <v/>
      </c>
      <c r="E47" s="20">
        <f>C47*('Conti per prodotto'!$O$10+'Conti per prodotto'!$I$10)</f>
        <v/>
      </c>
      <c r="F47" s="20">
        <f>'Costi B2Brand'!$E$6</f>
        <v/>
      </c>
      <c r="G47" s="20">
        <f>B$9</f>
        <v/>
      </c>
      <c r="H47" s="20">
        <f>IF(Ipotesi!$B$15="margine",MAX(0,H46-(E46-F46-G46)),0)</f>
        <v/>
      </c>
      <c r="I47" s="20">
        <f>IF(Ipotesi!$B$15="margine",MIN(E47,F47+G47+H47+0.5*MAX(0,(E47-F47-G47)-H47)),C47*'Conti per prodotto'!$I$10)</f>
        <v/>
      </c>
      <c r="J47" s="19">
        <f>I47-F47-G47</f>
        <v/>
      </c>
      <c r="K47" s="20">
        <f>K46+J47</f>
        <v/>
      </c>
      <c r="L47" s="19">
        <f>E47-I47</f>
        <v/>
      </c>
      <c r="M47" s="20">
        <f>M46+L47</f>
        <v/>
      </c>
      <c r="N47" s="21">
        <f>IF(IF(Ipotesi!$B$15="margine",(E47-F47-G47)/2,J47)&gt;=Ipotesi!$B$14,A47,"")</f>
        <v/>
      </c>
      <c r="O47" s="21">
        <f>IF(AND(A47&gt;1,K47&gt;=0),A47,"")</f>
        <v/>
      </c>
      <c r="Q47" s="4" t="n">
        <v>30</v>
      </c>
      <c r="R47" s="4" t="n">
        <v>3</v>
      </c>
      <c r="S47" s="4">
        <f>ROUND((C$13+(C$14-C$13)*6/12)*Stagionalità!$B$9,0)</f>
        <v/>
      </c>
      <c r="T47" s="20">
        <f>S47*'Conti per prodotto'!$B$10</f>
        <v/>
      </c>
      <c r="U47" s="20">
        <f>S47*('Conti per prodotto'!$O$10+'Conti per prodotto'!$I$10)</f>
        <v/>
      </c>
      <c r="V47" s="20">
        <f>'Costi B2Brand'!$E$6</f>
        <v/>
      </c>
      <c r="W47" s="20">
        <f>C$9</f>
        <v/>
      </c>
      <c r="X47" s="20">
        <f>IF(Ipotesi!$B$15="margine",MAX(0,X46-(U46-V46-W46)),0)</f>
        <v/>
      </c>
      <c r="Y47" s="20">
        <f>IF(Ipotesi!$B$15="margine",MIN(U47,V47+W47+X47+0.5*MAX(0,(U47-V47-W47)-X47)),S47*'Conti per prodotto'!$I$10)</f>
        <v/>
      </c>
      <c r="Z47" s="19">
        <f>Y47-V47-W47</f>
        <v/>
      </c>
      <c r="AA47" s="20">
        <f>AA46+Z47</f>
        <v/>
      </c>
      <c r="AB47" s="19">
        <f>U47-Y47</f>
        <v/>
      </c>
      <c r="AC47" s="20">
        <f>AC46+AB47</f>
        <v/>
      </c>
      <c r="AD47" s="21">
        <f>IF(IF(Ipotesi!$B$15="margine",(U47-V47-W47)/2,Z47)&gt;=Ipotesi!$B$14,Q47,"")</f>
        <v/>
      </c>
      <c r="AE47" s="21">
        <f>IF(AND(Q47&gt;1,AA47&gt;=0),Q47,"")</f>
        <v/>
      </c>
      <c r="AG47" s="4" t="n">
        <v>30</v>
      </c>
      <c r="AH47" s="4" t="n">
        <v>3</v>
      </c>
      <c r="AI47" s="4">
        <f>ROUND((D$13+(D$14-D$13)*6/12)*Stagionalità!$B$9,0)</f>
        <v/>
      </c>
      <c r="AJ47" s="20">
        <f>AI47*'Conti per prodotto'!$B$10</f>
        <v/>
      </c>
      <c r="AK47" s="20">
        <f>AI47*('Conti per prodotto'!$O$10+'Conti per prodotto'!$I$10)</f>
        <v/>
      </c>
      <c r="AL47" s="20">
        <f>'Costi B2Brand'!$E$6</f>
        <v/>
      </c>
      <c r="AM47" s="20">
        <f>D$9</f>
        <v/>
      </c>
      <c r="AN47" s="20">
        <f>IF(Ipotesi!$B$15="margine",MAX(0,AN46-(AK46-AL46-AM46)),0)</f>
        <v/>
      </c>
      <c r="AO47" s="20">
        <f>IF(Ipotesi!$B$15="margine",MIN(AK47,AL47+AM47+AN47+0.5*MAX(0,(AK47-AL47-AM47)-AN47)),AI47*'Conti per prodotto'!$I$10)</f>
        <v/>
      </c>
      <c r="AP47" s="19">
        <f>AO47-AL47-AM47</f>
        <v/>
      </c>
      <c r="AQ47" s="20">
        <f>AQ46+AP47</f>
        <v/>
      </c>
      <c r="AR47" s="19">
        <f>AK47-AO47</f>
        <v/>
      </c>
      <c r="AS47" s="20">
        <f>AS46+AR47</f>
        <v/>
      </c>
      <c r="AT47" s="21">
        <f>IF(IF(Ipotesi!$B$15="margine",(AK47-AL47-AM47)/2,AP47)&gt;=Ipotesi!$B$14,AG47,"")</f>
        <v/>
      </c>
      <c r="AU47" s="21">
        <f>IF(AND(AG47&gt;1,AQ47&gt;=0),AG47,"")</f>
        <v/>
      </c>
    </row>
    <row r="48">
      <c r="A48" s="4" t="n">
        <v>31</v>
      </c>
      <c r="B48" s="4" t="n">
        <v>3</v>
      </c>
      <c r="C48" s="4">
        <f>ROUND((B$13+(B$14-B$13)*7/12)*Stagionalità!$B$10,0)</f>
        <v/>
      </c>
      <c r="D48" s="20">
        <f>C48*'Conti per prodotto'!$B$10</f>
        <v/>
      </c>
      <c r="E48" s="20">
        <f>C48*('Conti per prodotto'!$O$10+'Conti per prodotto'!$I$10)</f>
        <v/>
      </c>
      <c r="F48" s="20">
        <f>'Costi B2Brand'!$E$6</f>
        <v/>
      </c>
      <c r="G48" s="20">
        <f>B$9</f>
        <v/>
      </c>
      <c r="H48" s="20">
        <f>IF(Ipotesi!$B$15="margine",MAX(0,H47-(E47-F47-G47)),0)</f>
        <v/>
      </c>
      <c r="I48" s="20">
        <f>IF(Ipotesi!$B$15="margine",MIN(E48,F48+G48+H48+0.5*MAX(0,(E48-F48-G48)-H48)),C48*'Conti per prodotto'!$I$10)</f>
        <v/>
      </c>
      <c r="J48" s="19">
        <f>I48-F48-G48</f>
        <v/>
      </c>
      <c r="K48" s="20">
        <f>K47+J48</f>
        <v/>
      </c>
      <c r="L48" s="19">
        <f>E48-I48</f>
        <v/>
      </c>
      <c r="M48" s="20">
        <f>M47+L48</f>
        <v/>
      </c>
      <c r="N48" s="21">
        <f>IF(IF(Ipotesi!$B$15="margine",(E48-F48-G48)/2,J48)&gt;=Ipotesi!$B$14,A48,"")</f>
        <v/>
      </c>
      <c r="O48" s="21">
        <f>IF(AND(A48&gt;1,K48&gt;=0),A48,"")</f>
        <v/>
      </c>
      <c r="Q48" s="4" t="n">
        <v>31</v>
      </c>
      <c r="R48" s="4" t="n">
        <v>3</v>
      </c>
      <c r="S48" s="4">
        <f>ROUND((C$13+(C$14-C$13)*7/12)*Stagionalità!$B$10,0)</f>
        <v/>
      </c>
      <c r="T48" s="20">
        <f>S48*'Conti per prodotto'!$B$10</f>
        <v/>
      </c>
      <c r="U48" s="20">
        <f>S48*('Conti per prodotto'!$O$10+'Conti per prodotto'!$I$10)</f>
        <v/>
      </c>
      <c r="V48" s="20">
        <f>'Costi B2Brand'!$E$6</f>
        <v/>
      </c>
      <c r="W48" s="20">
        <f>C$9</f>
        <v/>
      </c>
      <c r="X48" s="20">
        <f>IF(Ipotesi!$B$15="margine",MAX(0,X47-(U47-V47-W47)),0)</f>
        <v/>
      </c>
      <c r="Y48" s="20">
        <f>IF(Ipotesi!$B$15="margine",MIN(U48,V48+W48+X48+0.5*MAX(0,(U48-V48-W48)-X48)),S48*'Conti per prodotto'!$I$10)</f>
        <v/>
      </c>
      <c r="Z48" s="19">
        <f>Y48-V48-W48</f>
        <v/>
      </c>
      <c r="AA48" s="20">
        <f>AA47+Z48</f>
        <v/>
      </c>
      <c r="AB48" s="19">
        <f>U48-Y48</f>
        <v/>
      </c>
      <c r="AC48" s="20">
        <f>AC47+AB48</f>
        <v/>
      </c>
      <c r="AD48" s="21">
        <f>IF(IF(Ipotesi!$B$15="margine",(U48-V48-W48)/2,Z48)&gt;=Ipotesi!$B$14,Q48,"")</f>
        <v/>
      </c>
      <c r="AE48" s="21">
        <f>IF(AND(Q48&gt;1,AA48&gt;=0),Q48,"")</f>
        <v/>
      </c>
      <c r="AG48" s="4" t="n">
        <v>31</v>
      </c>
      <c r="AH48" s="4" t="n">
        <v>3</v>
      </c>
      <c r="AI48" s="4">
        <f>ROUND((D$13+(D$14-D$13)*7/12)*Stagionalità!$B$10,0)</f>
        <v/>
      </c>
      <c r="AJ48" s="20">
        <f>AI48*'Conti per prodotto'!$B$10</f>
        <v/>
      </c>
      <c r="AK48" s="20">
        <f>AI48*('Conti per prodotto'!$O$10+'Conti per prodotto'!$I$10)</f>
        <v/>
      </c>
      <c r="AL48" s="20">
        <f>'Costi B2Brand'!$E$6</f>
        <v/>
      </c>
      <c r="AM48" s="20">
        <f>D$9</f>
        <v/>
      </c>
      <c r="AN48" s="20">
        <f>IF(Ipotesi!$B$15="margine",MAX(0,AN47-(AK47-AL47-AM47)),0)</f>
        <v/>
      </c>
      <c r="AO48" s="20">
        <f>IF(Ipotesi!$B$15="margine",MIN(AK48,AL48+AM48+AN48+0.5*MAX(0,(AK48-AL48-AM48)-AN48)),AI48*'Conti per prodotto'!$I$10)</f>
        <v/>
      </c>
      <c r="AP48" s="19">
        <f>AO48-AL48-AM48</f>
        <v/>
      </c>
      <c r="AQ48" s="20">
        <f>AQ47+AP48</f>
        <v/>
      </c>
      <c r="AR48" s="19">
        <f>AK48-AO48</f>
        <v/>
      </c>
      <c r="AS48" s="20">
        <f>AS47+AR48</f>
        <v/>
      </c>
      <c r="AT48" s="21">
        <f>IF(IF(Ipotesi!$B$15="margine",(AK48-AL48-AM48)/2,AP48)&gt;=Ipotesi!$B$14,AG48,"")</f>
        <v/>
      </c>
      <c r="AU48" s="21">
        <f>IF(AND(AG48&gt;1,AQ48&gt;=0),AG48,"")</f>
        <v/>
      </c>
    </row>
    <row r="49">
      <c r="A49" s="4" t="n">
        <v>32</v>
      </c>
      <c r="B49" s="4" t="n">
        <v>3</v>
      </c>
      <c r="C49" s="4">
        <f>ROUND((B$13+(B$14-B$13)*8/12)*Stagionalità!$B$11,0)</f>
        <v/>
      </c>
      <c r="D49" s="20">
        <f>C49*'Conti per prodotto'!$B$10</f>
        <v/>
      </c>
      <c r="E49" s="20">
        <f>C49*('Conti per prodotto'!$O$10+'Conti per prodotto'!$I$10)</f>
        <v/>
      </c>
      <c r="F49" s="20">
        <f>'Costi B2Brand'!$E$6</f>
        <v/>
      </c>
      <c r="G49" s="20">
        <f>B$9</f>
        <v/>
      </c>
      <c r="H49" s="20">
        <f>IF(Ipotesi!$B$15="margine",MAX(0,H48-(E48-F48-G48)),0)</f>
        <v/>
      </c>
      <c r="I49" s="20">
        <f>IF(Ipotesi!$B$15="margine",MIN(E49,F49+G49+H49+0.5*MAX(0,(E49-F49-G49)-H49)),C49*'Conti per prodotto'!$I$10)</f>
        <v/>
      </c>
      <c r="J49" s="19">
        <f>I49-F49-G49</f>
        <v/>
      </c>
      <c r="K49" s="20">
        <f>K48+J49</f>
        <v/>
      </c>
      <c r="L49" s="19">
        <f>E49-I49</f>
        <v/>
      </c>
      <c r="M49" s="20">
        <f>M48+L49</f>
        <v/>
      </c>
      <c r="N49" s="21">
        <f>IF(IF(Ipotesi!$B$15="margine",(E49-F49-G49)/2,J49)&gt;=Ipotesi!$B$14,A49,"")</f>
        <v/>
      </c>
      <c r="O49" s="21">
        <f>IF(AND(A49&gt;1,K49&gt;=0),A49,"")</f>
        <v/>
      </c>
      <c r="Q49" s="4" t="n">
        <v>32</v>
      </c>
      <c r="R49" s="4" t="n">
        <v>3</v>
      </c>
      <c r="S49" s="4">
        <f>ROUND((C$13+(C$14-C$13)*8/12)*Stagionalità!$B$11,0)</f>
        <v/>
      </c>
      <c r="T49" s="20">
        <f>S49*'Conti per prodotto'!$B$10</f>
        <v/>
      </c>
      <c r="U49" s="20">
        <f>S49*('Conti per prodotto'!$O$10+'Conti per prodotto'!$I$10)</f>
        <v/>
      </c>
      <c r="V49" s="20">
        <f>'Costi B2Brand'!$E$6</f>
        <v/>
      </c>
      <c r="W49" s="20">
        <f>C$9</f>
        <v/>
      </c>
      <c r="X49" s="20">
        <f>IF(Ipotesi!$B$15="margine",MAX(0,X48-(U48-V48-W48)),0)</f>
        <v/>
      </c>
      <c r="Y49" s="20">
        <f>IF(Ipotesi!$B$15="margine",MIN(U49,V49+W49+X49+0.5*MAX(0,(U49-V49-W49)-X49)),S49*'Conti per prodotto'!$I$10)</f>
        <v/>
      </c>
      <c r="Z49" s="19">
        <f>Y49-V49-W49</f>
        <v/>
      </c>
      <c r="AA49" s="20">
        <f>AA48+Z49</f>
        <v/>
      </c>
      <c r="AB49" s="19">
        <f>U49-Y49</f>
        <v/>
      </c>
      <c r="AC49" s="20">
        <f>AC48+AB49</f>
        <v/>
      </c>
      <c r="AD49" s="21">
        <f>IF(IF(Ipotesi!$B$15="margine",(U49-V49-W49)/2,Z49)&gt;=Ipotesi!$B$14,Q49,"")</f>
        <v/>
      </c>
      <c r="AE49" s="21">
        <f>IF(AND(Q49&gt;1,AA49&gt;=0),Q49,"")</f>
        <v/>
      </c>
      <c r="AG49" s="4" t="n">
        <v>32</v>
      </c>
      <c r="AH49" s="4" t="n">
        <v>3</v>
      </c>
      <c r="AI49" s="4">
        <f>ROUND((D$13+(D$14-D$13)*8/12)*Stagionalità!$B$11,0)</f>
        <v/>
      </c>
      <c r="AJ49" s="20">
        <f>AI49*'Conti per prodotto'!$B$10</f>
        <v/>
      </c>
      <c r="AK49" s="20">
        <f>AI49*('Conti per prodotto'!$O$10+'Conti per prodotto'!$I$10)</f>
        <v/>
      </c>
      <c r="AL49" s="20">
        <f>'Costi B2Brand'!$E$6</f>
        <v/>
      </c>
      <c r="AM49" s="20">
        <f>D$9</f>
        <v/>
      </c>
      <c r="AN49" s="20">
        <f>IF(Ipotesi!$B$15="margine",MAX(0,AN48-(AK48-AL48-AM48)),0)</f>
        <v/>
      </c>
      <c r="AO49" s="20">
        <f>IF(Ipotesi!$B$15="margine",MIN(AK49,AL49+AM49+AN49+0.5*MAX(0,(AK49-AL49-AM49)-AN49)),AI49*'Conti per prodotto'!$I$10)</f>
        <v/>
      </c>
      <c r="AP49" s="19">
        <f>AO49-AL49-AM49</f>
        <v/>
      </c>
      <c r="AQ49" s="20">
        <f>AQ48+AP49</f>
        <v/>
      </c>
      <c r="AR49" s="19">
        <f>AK49-AO49</f>
        <v/>
      </c>
      <c r="AS49" s="20">
        <f>AS48+AR49</f>
        <v/>
      </c>
      <c r="AT49" s="21">
        <f>IF(IF(Ipotesi!$B$15="margine",(AK49-AL49-AM49)/2,AP49)&gt;=Ipotesi!$B$14,AG49,"")</f>
        <v/>
      </c>
      <c r="AU49" s="21">
        <f>IF(AND(AG49&gt;1,AQ49&gt;=0),AG49,"")</f>
        <v/>
      </c>
    </row>
    <row r="50">
      <c r="A50" s="4" t="n">
        <v>33</v>
      </c>
      <c r="B50" s="4" t="n">
        <v>3</v>
      </c>
      <c r="C50" s="4">
        <f>ROUND((B$13+(B$14-B$13)*9/12)*Stagionalità!$B$12,0)</f>
        <v/>
      </c>
      <c r="D50" s="20">
        <f>C50*'Conti per prodotto'!$B$10</f>
        <v/>
      </c>
      <c r="E50" s="20">
        <f>C50*('Conti per prodotto'!$O$10+'Conti per prodotto'!$I$10)</f>
        <v/>
      </c>
      <c r="F50" s="20">
        <f>'Costi B2Brand'!$E$6</f>
        <v/>
      </c>
      <c r="G50" s="20">
        <f>B$9</f>
        <v/>
      </c>
      <c r="H50" s="20">
        <f>IF(Ipotesi!$B$15="margine",MAX(0,H49-(E49-F49-G49)),0)</f>
        <v/>
      </c>
      <c r="I50" s="20">
        <f>IF(Ipotesi!$B$15="margine",MIN(E50,F50+G50+H50+0.5*MAX(0,(E50-F50-G50)-H50)),C50*'Conti per prodotto'!$I$10)</f>
        <v/>
      </c>
      <c r="J50" s="19">
        <f>I50-F50-G50</f>
        <v/>
      </c>
      <c r="K50" s="20">
        <f>K49+J50</f>
        <v/>
      </c>
      <c r="L50" s="19">
        <f>E50-I50</f>
        <v/>
      </c>
      <c r="M50" s="20">
        <f>M49+L50</f>
        <v/>
      </c>
      <c r="N50" s="21">
        <f>IF(IF(Ipotesi!$B$15="margine",(E50-F50-G50)/2,J50)&gt;=Ipotesi!$B$14,A50,"")</f>
        <v/>
      </c>
      <c r="O50" s="21">
        <f>IF(AND(A50&gt;1,K50&gt;=0),A50,"")</f>
        <v/>
      </c>
      <c r="Q50" s="4" t="n">
        <v>33</v>
      </c>
      <c r="R50" s="4" t="n">
        <v>3</v>
      </c>
      <c r="S50" s="4">
        <f>ROUND((C$13+(C$14-C$13)*9/12)*Stagionalità!$B$12,0)</f>
        <v/>
      </c>
      <c r="T50" s="20">
        <f>S50*'Conti per prodotto'!$B$10</f>
        <v/>
      </c>
      <c r="U50" s="20">
        <f>S50*('Conti per prodotto'!$O$10+'Conti per prodotto'!$I$10)</f>
        <v/>
      </c>
      <c r="V50" s="20">
        <f>'Costi B2Brand'!$E$6</f>
        <v/>
      </c>
      <c r="W50" s="20">
        <f>C$9</f>
        <v/>
      </c>
      <c r="X50" s="20">
        <f>IF(Ipotesi!$B$15="margine",MAX(0,X49-(U49-V49-W49)),0)</f>
        <v/>
      </c>
      <c r="Y50" s="20">
        <f>IF(Ipotesi!$B$15="margine",MIN(U50,V50+W50+X50+0.5*MAX(0,(U50-V50-W50)-X50)),S50*'Conti per prodotto'!$I$10)</f>
        <v/>
      </c>
      <c r="Z50" s="19">
        <f>Y50-V50-W50</f>
        <v/>
      </c>
      <c r="AA50" s="20">
        <f>AA49+Z50</f>
        <v/>
      </c>
      <c r="AB50" s="19">
        <f>U50-Y50</f>
        <v/>
      </c>
      <c r="AC50" s="20">
        <f>AC49+AB50</f>
        <v/>
      </c>
      <c r="AD50" s="21">
        <f>IF(IF(Ipotesi!$B$15="margine",(U50-V50-W50)/2,Z50)&gt;=Ipotesi!$B$14,Q50,"")</f>
        <v/>
      </c>
      <c r="AE50" s="21">
        <f>IF(AND(Q50&gt;1,AA50&gt;=0),Q50,"")</f>
        <v/>
      </c>
      <c r="AG50" s="4" t="n">
        <v>33</v>
      </c>
      <c r="AH50" s="4" t="n">
        <v>3</v>
      </c>
      <c r="AI50" s="4">
        <f>ROUND((D$13+(D$14-D$13)*9/12)*Stagionalità!$B$12,0)</f>
        <v/>
      </c>
      <c r="AJ50" s="20">
        <f>AI50*'Conti per prodotto'!$B$10</f>
        <v/>
      </c>
      <c r="AK50" s="20">
        <f>AI50*('Conti per prodotto'!$O$10+'Conti per prodotto'!$I$10)</f>
        <v/>
      </c>
      <c r="AL50" s="20">
        <f>'Costi B2Brand'!$E$6</f>
        <v/>
      </c>
      <c r="AM50" s="20">
        <f>D$9</f>
        <v/>
      </c>
      <c r="AN50" s="20">
        <f>IF(Ipotesi!$B$15="margine",MAX(0,AN49-(AK49-AL49-AM49)),0)</f>
        <v/>
      </c>
      <c r="AO50" s="20">
        <f>IF(Ipotesi!$B$15="margine",MIN(AK50,AL50+AM50+AN50+0.5*MAX(0,(AK50-AL50-AM50)-AN50)),AI50*'Conti per prodotto'!$I$10)</f>
        <v/>
      </c>
      <c r="AP50" s="19">
        <f>AO50-AL50-AM50</f>
        <v/>
      </c>
      <c r="AQ50" s="20">
        <f>AQ49+AP50</f>
        <v/>
      </c>
      <c r="AR50" s="19">
        <f>AK50-AO50</f>
        <v/>
      </c>
      <c r="AS50" s="20">
        <f>AS49+AR50</f>
        <v/>
      </c>
      <c r="AT50" s="21">
        <f>IF(IF(Ipotesi!$B$15="margine",(AK50-AL50-AM50)/2,AP50)&gt;=Ipotesi!$B$14,AG50,"")</f>
        <v/>
      </c>
      <c r="AU50" s="21">
        <f>IF(AND(AG50&gt;1,AQ50&gt;=0),AG50,"")</f>
        <v/>
      </c>
    </row>
    <row r="51">
      <c r="A51" s="4" t="n">
        <v>34</v>
      </c>
      <c r="B51" s="4" t="n">
        <v>3</v>
      </c>
      <c r="C51" s="4">
        <f>ROUND((B$13+(B$14-B$13)*10/12)*Stagionalità!$B$13,0)</f>
        <v/>
      </c>
      <c r="D51" s="20">
        <f>C51*'Conti per prodotto'!$B$10</f>
        <v/>
      </c>
      <c r="E51" s="20">
        <f>C51*('Conti per prodotto'!$O$10+'Conti per prodotto'!$I$10)</f>
        <v/>
      </c>
      <c r="F51" s="20">
        <f>'Costi B2Brand'!$E$6</f>
        <v/>
      </c>
      <c r="G51" s="20">
        <f>B$9</f>
        <v/>
      </c>
      <c r="H51" s="20">
        <f>IF(Ipotesi!$B$15="margine",MAX(0,H50-(E50-F50-G50)),0)</f>
        <v/>
      </c>
      <c r="I51" s="20">
        <f>IF(Ipotesi!$B$15="margine",MIN(E51,F51+G51+H51+0.5*MAX(0,(E51-F51-G51)-H51)),C51*'Conti per prodotto'!$I$10)</f>
        <v/>
      </c>
      <c r="J51" s="19">
        <f>I51-F51-G51</f>
        <v/>
      </c>
      <c r="K51" s="20">
        <f>K50+J51</f>
        <v/>
      </c>
      <c r="L51" s="19">
        <f>E51-I51</f>
        <v/>
      </c>
      <c r="M51" s="20">
        <f>M50+L51</f>
        <v/>
      </c>
      <c r="N51" s="21">
        <f>IF(IF(Ipotesi!$B$15="margine",(E51-F51-G51)/2,J51)&gt;=Ipotesi!$B$14,A51,"")</f>
        <v/>
      </c>
      <c r="O51" s="21">
        <f>IF(AND(A51&gt;1,K51&gt;=0),A51,"")</f>
        <v/>
      </c>
      <c r="Q51" s="4" t="n">
        <v>34</v>
      </c>
      <c r="R51" s="4" t="n">
        <v>3</v>
      </c>
      <c r="S51" s="4">
        <f>ROUND((C$13+(C$14-C$13)*10/12)*Stagionalità!$B$13,0)</f>
        <v/>
      </c>
      <c r="T51" s="20">
        <f>S51*'Conti per prodotto'!$B$10</f>
        <v/>
      </c>
      <c r="U51" s="20">
        <f>S51*('Conti per prodotto'!$O$10+'Conti per prodotto'!$I$10)</f>
        <v/>
      </c>
      <c r="V51" s="20">
        <f>'Costi B2Brand'!$E$6</f>
        <v/>
      </c>
      <c r="W51" s="20">
        <f>C$9</f>
        <v/>
      </c>
      <c r="X51" s="20">
        <f>IF(Ipotesi!$B$15="margine",MAX(0,X50-(U50-V50-W50)),0)</f>
        <v/>
      </c>
      <c r="Y51" s="20">
        <f>IF(Ipotesi!$B$15="margine",MIN(U51,V51+W51+X51+0.5*MAX(0,(U51-V51-W51)-X51)),S51*'Conti per prodotto'!$I$10)</f>
        <v/>
      </c>
      <c r="Z51" s="19">
        <f>Y51-V51-W51</f>
        <v/>
      </c>
      <c r="AA51" s="20">
        <f>AA50+Z51</f>
        <v/>
      </c>
      <c r="AB51" s="19">
        <f>U51-Y51</f>
        <v/>
      </c>
      <c r="AC51" s="20">
        <f>AC50+AB51</f>
        <v/>
      </c>
      <c r="AD51" s="21">
        <f>IF(IF(Ipotesi!$B$15="margine",(U51-V51-W51)/2,Z51)&gt;=Ipotesi!$B$14,Q51,"")</f>
        <v/>
      </c>
      <c r="AE51" s="21">
        <f>IF(AND(Q51&gt;1,AA51&gt;=0),Q51,"")</f>
        <v/>
      </c>
      <c r="AG51" s="4" t="n">
        <v>34</v>
      </c>
      <c r="AH51" s="4" t="n">
        <v>3</v>
      </c>
      <c r="AI51" s="4">
        <f>ROUND((D$13+(D$14-D$13)*10/12)*Stagionalità!$B$13,0)</f>
        <v/>
      </c>
      <c r="AJ51" s="20">
        <f>AI51*'Conti per prodotto'!$B$10</f>
        <v/>
      </c>
      <c r="AK51" s="20">
        <f>AI51*('Conti per prodotto'!$O$10+'Conti per prodotto'!$I$10)</f>
        <v/>
      </c>
      <c r="AL51" s="20">
        <f>'Costi B2Brand'!$E$6</f>
        <v/>
      </c>
      <c r="AM51" s="20">
        <f>D$9</f>
        <v/>
      </c>
      <c r="AN51" s="20">
        <f>IF(Ipotesi!$B$15="margine",MAX(0,AN50-(AK50-AL50-AM50)),0)</f>
        <v/>
      </c>
      <c r="AO51" s="20">
        <f>IF(Ipotesi!$B$15="margine",MIN(AK51,AL51+AM51+AN51+0.5*MAX(0,(AK51-AL51-AM51)-AN51)),AI51*'Conti per prodotto'!$I$10)</f>
        <v/>
      </c>
      <c r="AP51" s="19">
        <f>AO51-AL51-AM51</f>
        <v/>
      </c>
      <c r="AQ51" s="20">
        <f>AQ50+AP51</f>
        <v/>
      </c>
      <c r="AR51" s="19">
        <f>AK51-AO51</f>
        <v/>
      </c>
      <c r="AS51" s="20">
        <f>AS50+AR51</f>
        <v/>
      </c>
      <c r="AT51" s="21">
        <f>IF(IF(Ipotesi!$B$15="margine",(AK51-AL51-AM51)/2,AP51)&gt;=Ipotesi!$B$14,AG51,"")</f>
        <v/>
      </c>
      <c r="AU51" s="21">
        <f>IF(AND(AG51&gt;1,AQ51&gt;=0),AG51,"")</f>
        <v/>
      </c>
    </row>
    <row r="52">
      <c r="A52" s="4" t="n">
        <v>35</v>
      </c>
      <c r="B52" s="4" t="n">
        <v>3</v>
      </c>
      <c r="C52" s="4">
        <f>ROUND((B$13+(B$14-B$13)*11/12)*Stagionalità!$B$2,0)</f>
        <v/>
      </c>
      <c r="D52" s="20">
        <f>C52*'Conti per prodotto'!$B$10</f>
        <v/>
      </c>
      <c r="E52" s="20">
        <f>C52*('Conti per prodotto'!$O$10+'Conti per prodotto'!$I$10)</f>
        <v/>
      </c>
      <c r="F52" s="20">
        <f>'Costi B2Brand'!$E$6</f>
        <v/>
      </c>
      <c r="G52" s="20">
        <f>B$9</f>
        <v/>
      </c>
      <c r="H52" s="20">
        <f>IF(Ipotesi!$B$15="margine",MAX(0,H51-(E51-F51-G51)),0)</f>
        <v/>
      </c>
      <c r="I52" s="20">
        <f>IF(Ipotesi!$B$15="margine",MIN(E52,F52+G52+H52+0.5*MAX(0,(E52-F52-G52)-H52)),C52*'Conti per prodotto'!$I$10)</f>
        <v/>
      </c>
      <c r="J52" s="19">
        <f>I52-F52-G52</f>
        <v/>
      </c>
      <c r="K52" s="20">
        <f>K51+J52</f>
        <v/>
      </c>
      <c r="L52" s="19">
        <f>E52-I52</f>
        <v/>
      </c>
      <c r="M52" s="20">
        <f>M51+L52</f>
        <v/>
      </c>
      <c r="N52" s="21">
        <f>IF(IF(Ipotesi!$B$15="margine",(E52-F52-G52)/2,J52)&gt;=Ipotesi!$B$14,A52,"")</f>
        <v/>
      </c>
      <c r="O52" s="21">
        <f>IF(AND(A52&gt;1,K52&gt;=0),A52,"")</f>
        <v/>
      </c>
      <c r="Q52" s="4" t="n">
        <v>35</v>
      </c>
      <c r="R52" s="4" t="n">
        <v>3</v>
      </c>
      <c r="S52" s="4">
        <f>ROUND((C$13+(C$14-C$13)*11/12)*Stagionalità!$B$2,0)</f>
        <v/>
      </c>
      <c r="T52" s="20">
        <f>S52*'Conti per prodotto'!$B$10</f>
        <v/>
      </c>
      <c r="U52" s="20">
        <f>S52*('Conti per prodotto'!$O$10+'Conti per prodotto'!$I$10)</f>
        <v/>
      </c>
      <c r="V52" s="20">
        <f>'Costi B2Brand'!$E$6</f>
        <v/>
      </c>
      <c r="W52" s="20">
        <f>C$9</f>
        <v/>
      </c>
      <c r="X52" s="20">
        <f>IF(Ipotesi!$B$15="margine",MAX(0,X51-(U51-V51-W51)),0)</f>
        <v/>
      </c>
      <c r="Y52" s="20">
        <f>IF(Ipotesi!$B$15="margine",MIN(U52,V52+W52+X52+0.5*MAX(0,(U52-V52-W52)-X52)),S52*'Conti per prodotto'!$I$10)</f>
        <v/>
      </c>
      <c r="Z52" s="19">
        <f>Y52-V52-W52</f>
        <v/>
      </c>
      <c r="AA52" s="20">
        <f>AA51+Z52</f>
        <v/>
      </c>
      <c r="AB52" s="19">
        <f>U52-Y52</f>
        <v/>
      </c>
      <c r="AC52" s="20">
        <f>AC51+AB52</f>
        <v/>
      </c>
      <c r="AD52" s="21">
        <f>IF(IF(Ipotesi!$B$15="margine",(U52-V52-W52)/2,Z52)&gt;=Ipotesi!$B$14,Q52,"")</f>
        <v/>
      </c>
      <c r="AE52" s="21">
        <f>IF(AND(Q52&gt;1,AA52&gt;=0),Q52,"")</f>
        <v/>
      </c>
      <c r="AG52" s="4" t="n">
        <v>35</v>
      </c>
      <c r="AH52" s="4" t="n">
        <v>3</v>
      </c>
      <c r="AI52" s="4">
        <f>ROUND((D$13+(D$14-D$13)*11/12)*Stagionalità!$B$2,0)</f>
        <v/>
      </c>
      <c r="AJ52" s="20">
        <f>AI52*'Conti per prodotto'!$B$10</f>
        <v/>
      </c>
      <c r="AK52" s="20">
        <f>AI52*('Conti per prodotto'!$O$10+'Conti per prodotto'!$I$10)</f>
        <v/>
      </c>
      <c r="AL52" s="20">
        <f>'Costi B2Brand'!$E$6</f>
        <v/>
      </c>
      <c r="AM52" s="20">
        <f>D$9</f>
        <v/>
      </c>
      <c r="AN52" s="20">
        <f>IF(Ipotesi!$B$15="margine",MAX(0,AN51-(AK51-AL51-AM51)),0)</f>
        <v/>
      </c>
      <c r="AO52" s="20">
        <f>IF(Ipotesi!$B$15="margine",MIN(AK52,AL52+AM52+AN52+0.5*MAX(0,(AK52-AL52-AM52)-AN52)),AI52*'Conti per prodotto'!$I$10)</f>
        <v/>
      </c>
      <c r="AP52" s="19">
        <f>AO52-AL52-AM52</f>
        <v/>
      </c>
      <c r="AQ52" s="20">
        <f>AQ51+AP52</f>
        <v/>
      </c>
      <c r="AR52" s="19">
        <f>AK52-AO52</f>
        <v/>
      </c>
      <c r="AS52" s="20">
        <f>AS51+AR52</f>
        <v/>
      </c>
      <c r="AT52" s="21">
        <f>IF(IF(Ipotesi!$B$15="margine",(AK52-AL52-AM52)/2,AP52)&gt;=Ipotesi!$B$14,AG52,"")</f>
        <v/>
      </c>
      <c r="AU52" s="21">
        <f>IF(AND(AG52&gt;1,AQ52&gt;=0),AG52,"")</f>
        <v/>
      </c>
    </row>
    <row r="53">
      <c r="A53" s="4" t="n">
        <v>36</v>
      </c>
      <c r="B53" s="4" t="n">
        <v>3</v>
      </c>
      <c r="C53" s="4">
        <f>ROUND((B$13+(B$14-B$13)*12/12)*Stagionalità!$B$3,0)</f>
        <v/>
      </c>
      <c r="D53" s="20">
        <f>C53*'Conti per prodotto'!$B$10</f>
        <v/>
      </c>
      <c r="E53" s="20">
        <f>C53*('Conti per prodotto'!$O$10+'Conti per prodotto'!$I$10)</f>
        <v/>
      </c>
      <c r="F53" s="20">
        <f>'Costi B2Brand'!$E$6</f>
        <v/>
      </c>
      <c r="G53" s="20">
        <f>B$9</f>
        <v/>
      </c>
      <c r="H53" s="20">
        <f>IF(Ipotesi!$B$15="margine",MAX(0,H52-(E52-F52-G52)),0)</f>
        <v/>
      </c>
      <c r="I53" s="20">
        <f>IF(Ipotesi!$B$15="margine",MIN(E53,F53+G53+H53+0.5*MAX(0,(E53-F53-G53)-H53)),C53*'Conti per prodotto'!$I$10)</f>
        <v/>
      </c>
      <c r="J53" s="19">
        <f>I53-F53-G53</f>
        <v/>
      </c>
      <c r="K53" s="20">
        <f>K52+J53</f>
        <v/>
      </c>
      <c r="L53" s="19">
        <f>E53-I53</f>
        <v/>
      </c>
      <c r="M53" s="20">
        <f>M52+L53</f>
        <v/>
      </c>
      <c r="N53" s="21">
        <f>IF(IF(Ipotesi!$B$15="margine",(E53-F53-G53)/2,J53)&gt;=Ipotesi!$B$14,A53,"")</f>
        <v/>
      </c>
      <c r="O53" s="21">
        <f>IF(AND(A53&gt;1,K53&gt;=0),A53,"")</f>
        <v/>
      </c>
      <c r="Q53" s="4" t="n">
        <v>36</v>
      </c>
      <c r="R53" s="4" t="n">
        <v>3</v>
      </c>
      <c r="S53" s="4">
        <f>ROUND((C$13+(C$14-C$13)*12/12)*Stagionalità!$B$3,0)</f>
        <v/>
      </c>
      <c r="T53" s="20">
        <f>S53*'Conti per prodotto'!$B$10</f>
        <v/>
      </c>
      <c r="U53" s="20">
        <f>S53*('Conti per prodotto'!$O$10+'Conti per prodotto'!$I$10)</f>
        <v/>
      </c>
      <c r="V53" s="20">
        <f>'Costi B2Brand'!$E$6</f>
        <v/>
      </c>
      <c r="W53" s="20">
        <f>C$9</f>
        <v/>
      </c>
      <c r="X53" s="20">
        <f>IF(Ipotesi!$B$15="margine",MAX(0,X52-(U52-V52-W52)),0)</f>
        <v/>
      </c>
      <c r="Y53" s="20">
        <f>IF(Ipotesi!$B$15="margine",MIN(U53,V53+W53+X53+0.5*MAX(0,(U53-V53-W53)-X53)),S53*'Conti per prodotto'!$I$10)</f>
        <v/>
      </c>
      <c r="Z53" s="19">
        <f>Y53-V53-W53</f>
        <v/>
      </c>
      <c r="AA53" s="20">
        <f>AA52+Z53</f>
        <v/>
      </c>
      <c r="AB53" s="19">
        <f>U53-Y53</f>
        <v/>
      </c>
      <c r="AC53" s="20">
        <f>AC52+AB53</f>
        <v/>
      </c>
      <c r="AD53" s="21">
        <f>IF(IF(Ipotesi!$B$15="margine",(U53-V53-W53)/2,Z53)&gt;=Ipotesi!$B$14,Q53,"")</f>
        <v/>
      </c>
      <c r="AE53" s="21">
        <f>IF(AND(Q53&gt;1,AA53&gt;=0),Q53,"")</f>
        <v/>
      </c>
      <c r="AG53" s="4" t="n">
        <v>36</v>
      </c>
      <c r="AH53" s="4" t="n">
        <v>3</v>
      </c>
      <c r="AI53" s="4">
        <f>ROUND((D$13+(D$14-D$13)*12/12)*Stagionalità!$B$3,0)</f>
        <v/>
      </c>
      <c r="AJ53" s="20">
        <f>AI53*'Conti per prodotto'!$B$10</f>
        <v/>
      </c>
      <c r="AK53" s="20">
        <f>AI53*('Conti per prodotto'!$O$10+'Conti per prodotto'!$I$10)</f>
        <v/>
      </c>
      <c r="AL53" s="20">
        <f>'Costi B2Brand'!$E$6</f>
        <v/>
      </c>
      <c r="AM53" s="20">
        <f>D$9</f>
        <v/>
      </c>
      <c r="AN53" s="20">
        <f>IF(Ipotesi!$B$15="margine",MAX(0,AN52-(AK52-AL52-AM52)),0)</f>
        <v/>
      </c>
      <c r="AO53" s="20">
        <f>IF(Ipotesi!$B$15="margine",MIN(AK53,AL53+AM53+AN53+0.5*MAX(0,(AK53-AL53-AM53)-AN53)),AI53*'Conti per prodotto'!$I$10)</f>
        <v/>
      </c>
      <c r="AP53" s="19">
        <f>AO53-AL53-AM53</f>
        <v/>
      </c>
      <c r="AQ53" s="20">
        <f>AQ52+AP53</f>
        <v/>
      </c>
      <c r="AR53" s="19">
        <f>AK53-AO53</f>
        <v/>
      </c>
      <c r="AS53" s="20">
        <f>AS52+AR53</f>
        <v/>
      </c>
      <c r="AT53" s="21">
        <f>IF(IF(Ipotesi!$B$15="margine",(AK53-AL53-AM53)/2,AP53)&gt;=Ipotesi!$B$14,AG53,"")</f>
        <v/>
      </c>
      <c r="AU53" s="21">
        <f>IF(AND(AG53&gt;1,AQ53&gt;=0),AG53,"")</f>
        <v/>
      </c>
    </row>
    <row r="55">
      <c r="A55" s="6" t="inlineStr">
        <is>
          <t>Ordini anno 1 / 2 / 3</t>
        </is>
      </c>
      <c r="D55" s="22">
        <f>SUM(C18:C29)</f>
        <v/>
      </c>
      <c r="E55" s="22">
        <f>SUM(C30:C41)</f>
        <v/>
      </c>
      <c r="F55" s="22">
        <f>SUM(C42:C53)</f>
        <v/>
      </c>
      <c r="Q55" s="6" t="inlineStr">
        <is>
          <t>Ordini anno 1 / 2 / 3</t>
        </is>
      </c>
      <c r="T55" s="22">
        <f>SUM(S18:S29)</f>
        <v/>
      </c>
      <c r="U55" s="22">
        <f>SUM(S30:S41)</f>
        <v/>
      </c>
      <c r="V55" s="22">
        <f>SUM(S42:S53)</f>
        <v/>
      </c>
      <c r="AG55" s="6" t="inlineStr">
        <is>
          <t>Ordini anno 1 / 2 / 3</t>
        </is>
      </c>
      <c r="AJ55" s="22">
        <f>SUM(AI18:AI29)</f>
        <v/>
      </c>
      <c r="AK55" s="22">
        <f>SUM(AI30:AI41)</f>
        <v/>
      </c>
      <c r="AL55" s="22">
        <f>SUM(AI42:AI53)</f>
        <v/>
      </c>
    </row>
    <row r="56">
      <c r="A56" s="6" t="inlineStr">
        <is>
          <t>Vendite online anno 1 / 2 / 3</t>
        </is>
      </c>
      <c r="D56" s="22">
        <f>SUM(D18:D29)</f>
        <v/>
      </c>
      <c r="E56" s="22">
        <f>SUM(D30:D41)</f>
        <v/>
      </c>
      <c r="F56" s="22">
        <f>SUM(D42:D53)</f>
        <v/>
      </c>
      <c r="Q56" s="6" t="inlineStr">
        <is>
          <t>Vendite online anno 1 / 2 / 3</t>
        </is>
      </c>
      <c r="T56" s="22">
        <f>SUM(T18:T29)</f>
        <v/>
      </c>
      <c r="U56" s="22">
        <f>SUM(T30:T41)</f>
        <v/>
      </c>
      <c r="V56" s="22">
        <f>SUM(T42:T53)</f>
        <v/>
      </c>
      <c r="AG56" s="6" t="inlineStr">
        <is>
          <t>Vendite online anno 1 / 2 / 3</t>
        </is>
      </c>
      <c r="AJ56" s="22">
        <f>SUM(AJ18:AJ29)</f>
        <v/>
      </c>
      <c r="AK56" s="22">
        <f>SUM(AJ30:AJ41)</f>
        <v/>
      </c>
      <c r="AL56" s="22">
        <f>SUM(AJ42:AJ53)</f>
        <v/>
      </c>
    </row>
    <row r="57">
      <c r="A57" s="6" t="inlineStr">
        <is>
          <t>Netto B2Brand anno 1 / 2 / 3</t>
        </is>
      </c>
      <c r="D57" s="22">
        <f>SUM(J18:J29)</f>
        <v/>
      </c>
      <c r="E57" s="22">
        <f>SUM(J30:J41)</f>
        <v/>
      </c>
      <c r="F57" s="22">
        <f>SUM(J42:J53)</f>
        <v/>
      </c>
      <c r="Q57" s="6" t="inlineStr">
        <is>
          <t>Netto B2Brand anno 1 / 2 / 3</t>
        </is>
      </c>
      <c r="T57" s="22">
        <f>SUM(Z18:Z29)</f>
        <v/>
      </c>
      <c r="U57" s="22">
        <f>SUM(Z30:Z41)</f>
        <v/>
      </c>
      <c r="V57" s="22">
        <f>SUM(Z42:Z53)</f>
        <v/>
      </c>
      <c r="AG57" s="6" t="inlineStr">
        <is>
          <t>Netto B2Brand anno 1 / 2 / 3</t>
        </is>
      </c>
      <c r="AJ57" s="22">
        <f>SUM(AP18:AP29)</f>
        <v/>
      </c>
      <c r="AK57" s="22">
        <f>SUM(AP30:AP41)</f>
        <v/>
      </c>
      <c r="AL57" s="22">
        <f>SUM(AP42:AP53)</f>
        <v/>
      </c>
    </row>
    <row r="58">
      <c r="A58" s="6" t="inlineStr">
        <is>
          <t>…al mese</t>
        </is>
      </c>
      <c r="D58" s="22">
        <f>SUM(J18:J29)/12</f>
        <v/>
      </c>
      <c r="E58" s="22">
        <f>SUM(J30:J41)/12</f>
        <v/>
      </c>
      <c r="F58" s="22">
        <f>SUM(J42:J53)/12</f>
        <v/>
      </c>
      <c r="Q58" s="6" t="inlineStr">
        <is>
          <t>…al mese</t>
        </is>
      </c>
      <c r="T58" s="22">
        <f>SUM(Z18:Z29)/12</f>
        <v/>
      </c>
      <c r="U58" s="22">
        <f>SUM(Z30:Z41)/12</f>
        <v/>
      </c>
      <c r="V58" s="22">
        <f>SUM(Z42:Z53)/12</f>
        <v/>
      </c>
      <c r="AG58" s="6" t="inlineStr">
        <is>
          <t>…al mese</t>
        </is>
      </c>
      <c r="AJ58" s="22">
        <f>SUM(AP18:AP29)/12</f>
        <v/>
      </c>
      <c r="AK58" s="22">
        <f>SUM(AP30:AP41)/12</f>
        <v/>
      </c>
      <c r="AL58" s="22">
        <f>SUM(AP42:AP53)/12</f>
        <v/>
      </c>
    </row>
    <row r="59">
      <c r="A59" s="6" t="inlineStr">
        <is>
          <t>Netto Kalab anno 1 / 2 / 3</t>
        </is>
      </c>
      <c r="D59" s="22">
        <f>SUM(L18:L29)</f>
        <v/>
      </c>
      <c r="E59" s="22">
        <f>SUM(L30:L41)</f>
        <v/>
      </c>
      <c r="F59" s="22">
        <f>SUM(L42:L53)</f>
        <v/>
      </c>
      <c r="Q59" s="6" t="inlineStr">
        <is>
          <t>Netto Kalab anno 1 / 2 / 3</t>
        </is>
      </c>
      <c r="T59" s="22">
        <f>SUM(AB18:AB29)</f>
        <v/>
      </c>
      <c r="U59" s="22">
        <f>SUM(AB30:AB41)</f>
        <v/>
      </c>
      <c r="V59" s="22">
        <f>SUM(AB42:AB53)</f>
        <v/>
      </c>
      <c r="AG59" s="6" t="inlineStr">
        <is>
          <t>Netto Kalab anno 1 / 2 / 3</t>
        </is>
      </c>
      <c r="AJ59" s="22">
        <f>SUM(AR18:AR29)</f>
        <v/>
      </c>
      <c r="AK59" s="22">
        <f>SUM(AR30:AR41)</f>
        <v/>
      </c>
      <c r="AL59" s="22">
        <f>SUM(AR42:AR53)</f>
        <v/>
      </c>
    </row>
    <row r="60">
      <c r="A60" s="6" t="inlineStr">
        <is>
          <t>…al mese</t>
        </is>
      </c>
      <c r="D60" s="22">
        <f>SUM(L18:L29)/12</f>
        <v/>
      </c>
      <c r="E60" s="22">
        <f>SUM(L30:L41)/12</f>
        <v/>
      </c>
      <c r="F60" s="22">
        <f>SUM(L42:L53)/12</f>
        <v/>
      </c>
      <c r="Q60" s="6" t="inlineStr">
        <is>
          <t>…al mese</t>
        </is>
      </c>
      <c r="T60" s="22">
        <f>SUM(AB18:AB29)/12</f>
        <v/>
      </c>
      <c r="U60" s="22">
        <f>SUM(AB30:AB41)/12</f>
        <v/>
      </c>
      <c r="V60" s="22">
        <f>SUM(AB42:AB53)/12</f>
        <v/>
      </c>
      <c r="AG60" s="6" t="inlineStr">
        <is>
          <t>…al mese</t>
        </is>
      </c>
      <c r="AJ60" s="22">
        <f>SUM(AR18:AR29)/12</f>
        <v/>
      </c>
      <c r="AK60" s="22">
        <f>SUM(AR30:AR41)/12</f>
        <v/>
      </c>
      <c r="AL60" s="22">
        <f>SUM(AR42:AR53)/12</f>
        <v/>
      </c>
    </row>
    <row r="61">
      <c r="A61" s="6" t="inlineStr">
        <is>
          <t>Primo mese a quota obiettivo (con «margine»: metà del guadagno del mese)</t>
        </is>
      </c>
      <c r="D61" s="22">
        <f>IF(MIN(N18:N53)=0,"oltre 36",MIN(N18:N53))</f>
        <v/>
      </c>
      <c r="Q61" s="6" t="inlineStr">
        <is>
          <t>Primo mese a quota obiettivo (con «margine»: metà del guadagno del mese)</t>
        </is>
      </c>
      <c r="T61" s="22">
        <f>IF(MIN(AD18:AD53)=0,"oltre 36",MIN(AD18:AD53))</f>
        <v/>
      </c>
      <c r="AG61" s="6" t="inlineStr">
        <is>
          <t>Primo mese a quota obiettivo (con «margine»: metà del guadagno del mese)</t>
        </is>
      </c>
      <c r="AJ61" s="22">
        <f>IF(MIN(AT18:AT53)=0,"oltre 36",MIN(AT18:AT53))</f>
        <v/>
      </c>
    </row>
    <row r="62">
      <c r="A62" s="6" t="inlineStr">
        <is>
          <t>Primo mese col cumulato B2Brand ≥ 0</t>
        </is>
      </c>
      <c r="D62" s="22">
        <f>IF(MIN(O18:O53)=0,"oltre 36",MIN(O18:O53))</f>
        <v/>
      </c>
      <c r="Q62" s="6" t="inlineStr">
        <is>
          <t>Primo mese col cumulato B2Brand ≥ 0</t>
        </is>
      </c>
      <c r="T62" s="22">
        <f>IF(MIN(AE18:AE53)=0,"oltre 36",MIN(AE18:AE53))</f>
        <v/>
      </c>
      <c r="AG62" s="6" t="inlineStr">
        <is>
          <t>Primo mese col cumulato B2Brand ≥ 0</t>
        </is>
      </c>
      <c r="AJ62" s="22">
        <f>IF(MIN(AU18:AU53)=0,"oltre 36",MIN(AU18:AU53))</f>
        <v/>
      </c>
    </row>
    <row r="63">
      <c r="A63" s="6" t="inlineStr">
        <is>
          <t>Massimo che B2Brand ha «fuori» (€)</t>
        </is>
      </c>
      <c r="D63" s="22">
        <f>MIN(0,MIN(K18:K53))</f>
        <v/>
      </c>
      <c r="Q63" s="6" t="inlineStr">
        <is>
          <t>Massimo che B2Brand ha «fuori» (€)</t>
        </is>
      </c>
      <c r="T63" s="22">
        <f>MIN(0,MIN(AA18:AA53))</f>
        <v/>
      </c>
      <c r="AG63" s="6" t="inlineStr">
        <is>
          <t>Massimo che B2Brand ha «fuori» (€)</t>
        </is>
      </c>
      <c r="AJ63" s="22">
        <f>MIN(0,MIN(AQ18:AQ53))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7" t="inlineStr">
        <is>
          <t>Dove B2Brand e Kalab prendono la stessa cifra</t>
        </is>
      </c>
    </row>
    <row r="2">
      <c r="A2" t="inlineStr">
        <is>
          <t>Margine da dividere per ordine (€): merce netta meno prodotto, imballo, spedizione non pagata dal cliente, commissioni e perdite</t>
        </is>
      </c>
      <c r="F2" s="12">
        <f>('Conti per prodotto'!$O$10+'Conti per prodotto'!$I$10)</f>
        <v/>
      </c>
    </row>
    <row r="3">
      <c r="A3" t="inlineStr">
        <is>
          <t>Merce netta per ordine (€): senza IVA e senza commissioni</t>
        </is>
      </c>
      <c r="F3" s="12">
        <f>'Conti per prodotto'!$G$10</f>
        <v/>
      </c>
    </row>
    <row r="5" ht="48" customHeight="1">
      <c r="A5" s="3" t="inlineStr">
        <is>
          <t>Ordini al mese</t>
        </is>
      </c>
      <c r="B5" s="3" t="inlineStr">
        <is>
          <t>Pubblicità al mese (€)</t>
        </is>
      </c>
      <c r="C5" s="3" t="inlineStr">
        <is>
          <t>Spese fisse B2Brand (€)</t>
        </is>
      </c>
      <c r="D5" s="3" t="inlineStr">
        <is>
          <t>% della merce netta che pareggia</t>
        </is>
      </c>
      <c r="E5" s="3" t="inlineStr">
        <is>
          <t>€ a testa al mese (= metà del margine)</t>
        </is>
      </c>
      <c r="F5" s="3" t="inlineStr">
        <is>
          <t>Con la percentuale fissa delle Ipotesi: B2Brand (€)</t>
        </is>
      </c>
      <c r="G5" s="3" t="inlineStr">
        <is>
          <t>…e Kalab (€)</t>
        </is>
      </c>
    </row>
    <row r="6">
      <c r="A6" s="8" t="n">
        <v>50</v>
      </c>
      <c r="B6" s="8" t="n">
        <v>300</v>
      </c>
      <c r="C6">
        <f>'Costi B2Brand'!$C$6+B6</f>
        <v/>
      </c>
      <c r="D6" s="23">
        <f>$F$2/(2*$F$3)+C6/(2*$F$3*A6)</f>
        <v/>
      </c>
      <c r="E6" s="22">
        <f>($F$2*A6-C6)/2</f>
        <v/>
      </c>
      <c r="F6" s="24">
        <f>A6*'Conti per prodotto'!$I$10-C6</f>
        <v/>
      </c>
      <c r="G6" s="24">
        <f>A6*'Conti per prodotto'!$O$10</f>
        <v/>
      </c>
    </row>
    <row r="7">
      <c r="A7" s="8" t="n">
        <v>100</v>
      </c>
      <c r="B7" s="8" t="n">
        <v>400</v>
      </c>
      <c r="C7">
        <f>'Costi B2Brand'!$C$6+B7</f>
        <v/>
      </c>
      <c r="D7" s="23">
        <f>$F$2/(2*$F$3)+C7/(2*$F$3*A7)</f>
        <v/>
      </c>
      <c r="E7" s="22">
        <f>($F$2*A7-C7)/2</f>
        <v/>
      </c>
      <c r="F7" s="24">
        <f>A7*'Conti per prodotto'!$I$10-C7</f>
        <v/>
      </c>
      <c r="G7" s="24">
        <f>A7*'Conti per prodotto'!$O$10</f>
        <v/>
      </c>
    </row>
    <row r="8">
      <c r="A8" s="8" t="n">
        <v>150</v>
      </c>
      <c r="B8" s="8" t="n">
        <v>400</v>
      </c>
      <c r="C8">
        <f>'Costi B2Brand'!$C$6+B8</f>
        <v/>
      </c>
      <c r="D8" s="23">
        <f>$F$2/(2*$F$3)+C8/(2*$F$3*A8)</f>
        <v/>
      </c>
      <c r="E8" s="22">
        <f>($F$2*A8-C8)/2</f>
        <v/>
      </c>
      <c r="F8" s="24">
        <f>A8*'Conti per prodotto'!$I$10-C8</f>
        <v/>
      </c>
      <c r="G8" s="24">
        <f>A8*'Conti per prodotto'!$O$10</f>
        <v/>
      </c>
    </row>
    <row r="9">
      <c r="A9" s="8" t="n">
        <v>200</v>
      </c>
      <c r="B9" s="8" t="n">
        <v>500</v>
      </c>
      <c r="C9">
        <f>'Costi B2Brand'!$C$6+B9</f>
        <v/>
      </c>
      <c r="D9" s="23">
        <f>$F$2/(2*$F$3)+C9/(2*$F$3*A9)</f>
        <v/>
      </c>
      <c r="E9" s="22">
        <f>($F$2*A9-C9)/2</f>
        <v/>
      </c>
      <c r="F9" s="24">
        <f>A9*'Conti per prodotto'!$I$10-C9</f>
        <v/>
      </c>
      <c r="G9" s="24">
        <f>A9*'Conti per prodotto'!$O$10</f>
        <v/>
      </c>
    </row>
    <row r="10">
      <c r="A10" s="8" t="n">
        <v>300</v>
      </c>
      <c r="B10" s="8" t="n">
        <v>600</v>
      </c>
      <c r="C10">
        <f>'Costi B2Brand'!$C$6+B10</f>
        <v/>
      </c>
      <c r="D10" s="23">
        <f>$F$2/(2*$F$3)+C10/(2*$F$3*A10)</f>
        <v/>
      </c>
      <c r="E10" s="22">
        <f>($F$2*A10-C10)/2</f>
        <v/>
      </c>
      <c r="F10" s="24">
        <f>A10*'Conti per prodotto'!$I$10-C10</f>
        <v/>
      </c>
      <c r="G10" s="24">
        <f>A10*'Conti per prodotto'!$O$10</f>
        <v/>
      </c>
    </row>
    <row r="11">
      <c r="A11" s="8" t="n">
        <v>500</v>
      </c>
      <c r="B11" s="8" t="n">
        <v>800</v>
      </c>
      <c r="C11">
        <f>'Costi B2Brand'!$C$6+B11</f>
        <v/>
      </c>
      <c r="D11" s="23">
        <f>$F$2/(2*$F$3)+C11/(2*$F$3*A11)</f>
        <v/>
      </c>
      <c r="E11" s="22">
        <f>($F$2*A11-C11)/2</f>
        <v/>
      </c>
      <c r="F11" s="24">
        <f>A11*'Conti per prodotto'!$I$10-C11</f>
        <v/>
      </c>
      <c r="G11" s="24">
        <f>A11*'Conti per prodotto'!$O$10</f>
        <v/>
      </c>
    </row>
    <row r="13">
      <c r="A13" t="inlineStr">
        <is>
          <t>Lettura: B2Brand paga pubblicità e piattaforma, che costano uguale con pochi o tanti ordini; Kalab paga prodotto e spedizione, che crescono con gli ordini. Per questo la percentuale fissa che pareggia scende quando i volumi salgono. «Metà del margine» pareggia a ogni volume senza toccare niente.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>
      <c r="A1" s="17" t="inlineStr">
        <is>
          <t>Scenario ambizioso: cosa deve succedere ogni mese, a regime, per arrivarci</t>
        </is>
      </c>
    </row>
    <row r="2">
      <c r="A2" t="inlineStr">
        <is>
          <t>Celle azzurre = valori di riferimento dai benchmark (fonte in ricerca/ambizioso/02_benchmark_e_numeri.md). Ordini e pubblicità arrivano dal foglio Scenari, colonna Ambizioso.</t>
        </is>
      </c>
    </row>
    <row r="4">
      <c r="A4" s="15" t="inlineStr">
        <is>
          <t>Voce</t>
        </is>
      </c>
      <c r="B4" s="15" t="inlineStr">
        <is>
          <t>Anno 1</t>
        </is>
      </c>
      <c r="C4" s="15" t="inlineStr">
        <is>
          <t>Anno 2</t>
        </is>
      </c>
      <c r="D4" s="15" t="inlineStr">
        <is>
          <t>Anno 3</t>
        </is>
      </c>
      <c r="E4" s="15" t="inlineStr">
        <is>
          <t>Nota</t>
        </is>
      </c>
    </row>
    <row r="5">
      <c r="A5" s="4" t="inlineStr">
        <is>
          <t>Tasso di conversione del sito</t>
        </is>
      </c>
      <c r="B5" s="25" t="n">
        <v>0.012</v>
      </c>
      <c r="C5" s="25" t="n">
        <v>0.016</v>
      </c>
      <c r="D5" s="25" t="n">
        <v>0.019</v>
      </c>
      <c r="E5" t="inlineStr">
        <is>
          <t>da 0,8% (negozio nuovo) a 2,2%; mediana piccoli Shopify 1,4% (Littledata 09/2026); Food &amp; Drink UK 1,58% (IRP 08/2026) — 02 §1.1 e §3</t>
        </is>
      </c>
    </row>
    <row r="6">
      <c r="A6" s="4" t="inlineStr">
        <is>
          <t>Ordini da clienti che ritornano</t>
        </is>
      </c>
      <c r="B6" s="26" t="n">
        <v>0.25</v>
      </c>
      <c r="C6" s="26" t="n">
        <v>0.28</v>
      </c>
      <c r="D6" s="26" t="n">
        <v>0.35</v>
      </c>
      <c r="E6" t="inlineStr">
        <is>
          <t>riacquisto medio simulato (02 §2.3): nei prodotti di consumo ricompra entro un anno il 30-40% dei clienti</t>
        </is>
      </c>
    </row>
    <row r="7">
      <c r="A7" s="4" t="inlineStr">
        <is>
          <t>Costo di un clic a pagamento (€)</t>
        </is>
      </c>
      <c r="B7" s="27" t="n">
        <v>0.7</v>
      </c>
      <c r="C7" s="27" t="n">
        <v>0.7</v>
      </c>
      <c r="D7" s="27" t="n">
        <v>0.7</v>
      </c>
      <c r="E7" t="inlineStr">
        <is>
          <t>clic medio fra Google Shopping (~0,55 €) e Meta (~1 €) — 05 §5, 02 §2.1</t>
        </is>
      </c>
    </row>
    <row r="8">
      <c r="A8" s="4" t="inlineStr">
        <is>
          <t>Costo pubblicitario per un cliente nuovo (€)</t>
        </is>
      </c>
      <c r="B8" s="27" t="n">
        <v>35</v>
      </c>
      <c r="C8" s="27" t="n">
        <v>35</v>
      </c>
      <c r="D8" s="27" t="n">
        <v>35</v>
      </c>
      <c r="E8" t="inlineStr">
        <is>
          <t>benchmark food 25-50 € (02 §1.5); sostenibile ≤ 20 € con ordine medio 28 €, ≤ 29 € con 40 €</t>
        </is>
      </c>
    </row>
    <row r="9">
      <c r="A9" s="4" t="inlineStr">
        <is>
          <t>Quota degli ordini dalla newsletter</t>
        </is>
      </c>
      <c r="B9" s="26" t="n">
        <v>0.13</v>
      </c>
      <c r="C9" s="26" t="n">
        <v>0.16</v>
      </c>
      <c r="D9" s="26" t="n">
        <v>0.2</v>
      </c>
      <c r="E9" t="inlineStr">
        <is>
          <t>simulazione 02 §2.4 (13-23%); media degli account Klaviyo 19% del fatturato</t>
        </is>
      </c>
    </row>
    <row r="10">
      <c r="A10" s="4" t="inlineStr">
        <is>
          <t>Ordini al mese ogni 1.000 iscritti</t>
        </is>
      </c>
      <c r="B10" s="28" t="n">
        <v>8.5</v>
      </c>
      <c r="C10" s="28" t="n">
        <v>8.5</v>
      </c>
      <c r="D10" s="28" t="n">
        <v>8.5</v>
      </c>
      <c r="E10" t="inlineStr">
        <is>
          <t>4 campagne al mese × 0,17% + benvenuto e carrelli (02 §2.1 e §2.4)</t>
        </is>
      </c>
    </row>
    <row r="12">
      <c r="A12" s="6" t="inlineStr">
        <is>
          <t>Ordini al mese (obiettivo a regime)</t>
        </is>
      </c>
      <c r="B12" s="19">
        <f>Scenari!$D$3</f>
        <v/>
      </c>
      <c r="C12" s="19">
        <f>Scenari!$D$4</f>
        <v/>
      </c>
      <c r="D12" s="19">
        <f>Scenari!$D$5</f>
        <v/>
      </c>
    </row>
    <row r="13">
      <c r="A13" s="6" t="inlineStr">
        <is>
          <t>Pubblicità al mese (€)</t>
        </is>
      </c>
      <c r="B13" s="19">
        <f>Scenari!$D$7</f>
        <v/>
      </c>
      <c r="C13" s="19">
        <f>Scenari!$D$8</f>
        <v/>
      </c>
      <c r="D13" s="19">
        <f>Scenari!$D$9</f>
        <v/>
      </c>
    </row>
    <row r="14">
      <c r="A14" s="6" t="inlineStr">
        <is>
          <t>Visite al mese necessarie</t>
        </is>
      </c>
      <c r="B14" s="19">
        <f>ROUND(B12/B5,0)</f>
        <v/>
      </c>
      <c r="C14" s="19">
        <f>ROUND(C12/C5,0)</f>
        <v/>
      </c>
      <c r="D14" s="19">
        <f>ROUND(D12/D5,0)</f>
        <v/>
      </c>
    </row>
    <row r="15">
      <c r="A15" s="6" t="inlineStr">
        <is>
          <t>…di cui comprate con la pubblicità</t>
        </is>
      </c>
      <c r="B15" s="19">
        <f>ROUND(B13/B7,0)</f>
        <v/>
      </c>
      <c r="C15" s="19">
        <f>ROUND(C13/C7,0)</f>
        <v/>
      </c>
      <c r="D15" s="19">
        <f>ROUND(D13/D7,0)</f>
        <v/>
      </c>
    </row>
    <row r="16">
      <c r="A16" s="6" t="inlineStr">
        <is>
          <t>…di cui da portare gratis (Google, social, eventi, passaparola)</t>
        </is>
      </c>
      <c r="B16" s="19">
        <f>MAX(0,B14-B15)</f>
        <v/>
      </c>
      <c r="C16" s="19">
        <f>MAX(0,C14-C15)</f>
        <v/>
      </c>
      <c r="D16" s="19">
        <f>MAX(0,D14-D15)</f>
        <v/>
      </c>
    </row>
    <row r="17">
      <c r="A17" s="6" t="inlineStr">
        <is>
          <t>Clienti nuovi al mese</t>
        </is>
      </c>
      <c r="B17" s="19">
        <f>ROUND(B12*(1-B6),0)</f>
        <v/>
      </c>
      <c r="C17" s="19">
        <f>ROUND(C12*(1-C6),0)</f>
        <v/>
      </c>
      <c r="D17" s="19">
        <f>ROUND(D12*(1-D6),0)</f>
        <v/>
      </c>
    </row>
    <row r="18">
      <c r="A18" s="6" t="inlineStr">
        <is>
          <t>…di cui comprati con la pubblicità</t>
        </is>
      </c>
      <c r="B18" s="19">
        <f>ROUND(B13/B8,0)</f>
        <v/>
      </c>
      <c r="C18" s="19">
        <f>ROUND(C13/C8,0)</f>
        <v/>
      </c>
      <c r="D18" s="19">
        <f>ROUND(D13/D8,0)</f>
        <v/>
      </c>
    </row>
    <row r="19">
      <c r="A19" s="6" t="inlineStr">
        <is>
          <t>…di cui da trovare gratis</t>
        </is>
      </c>
      <c r="B19" s="19">
        <f>MAX(0,B17-B18)</f>
        <v/>
      </c>
      <c r="C19" s="19">
        <f>MAX(0,C17-C18)</f>
        <v/>
      </c>
      <c r="D19" s="19">
        <f>MAX(0,D17-D18)</f>
        <v/>
      </c>
    </row>
    <row r="20">
      <c r="A20" s="6" t="inlineStr">
        <is>
          <t>Ordini di clienti che ritornano</t>
        </is>
      </c>
      <c r="B20" s="19">
        <f>ROUND(B12*B6,0)</f>
        <v/>
      </c>
      <c r="C20" s="19">
        <f>ROUND(C12*C6,0)</f>
        <v/>
      </c>
      <c r="D20" s="19">
        <f>ROUND(D12*D6,0)</f>
        <v/>
      </c>
    </row>
    <row r="21">
      <c r="A21" s="6" t="inlineStr">
        <is>
          <t>Ordini dalla newsletter</t>
        </is>
      </c>
      <c r="B21" s="19">
        <f>ROUND(B12*B9,0)</f>
        <v/>
      </c>
      <c r="C21" s="19">
        <f>ROUND(C12*C9,0)</f>
        <v/>
      </c>
      <c r="D21" s="19">
        <f>ROUND(D12*D9,0)</f>
        <v/>
      </c>
    </row>
    <row r="22">
      <c r="A22" s="6" t="inlineStr">
        <is>
          <t>Iscritti alla newsletter necessari</t>
        </is>
      </c>
      <c r="B22" s="19">
        <f>ROUND(B21/B10*1000,0)</f>
        <v/>
      </c>
      <c r="C22" s="19">
        <f>ROUND(C21/C10*1000,0)</f>
        <v/>
      </c>
      <c r="D22" s="19">
        <f>ROUND(D21/D10*1000,0)</f>
        <v/>
      </c>
    </row>
    <row r="23">
      <c r="A23" s="6" t="inlineStr">
        <is>
          <t>Ordini al giorno</t>
        </is>
      </c>
      <c r="B23" s="29">
        <f>ROUND(B12/30,1)</f>
        <v/>
      </c>
      <c r="C23" s="29">
        <f>ROUND(C12/30,1)</f>
        <v/>
      </c>
      <c r="D23" s="29">
        <f>ROUND(D12/30,1)</f>
        <v/>
      </c>
    </row>
    <row r="25">
      <c r="A25" t="inlineStr">
        <is>
          <t>Lettura: la riga «da portare gratis» è il lavoro vero del marchio. Se è troppo alta rispetto a quello che Google, social, eventi e B2B possono dare, l'ambizioso non si raggiunge con quella pubblicità.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60" customWidth="1" min="3" max="3"/>
    <col width="18" customWidth="1" min="4" max="4"/>
    <col width="18" customWidth="1" min="5" max="5"/>
  </cols>
  <sheetData>
    <row r="1">
      <c r="A1" s="17" t="inlineStr">
        <is>
          <t>Corsa pomeridiana all'hub contro magazzino conto terzi (3PL), per prodotti non deperibili</t>
        </is>
      </c>
    </row>
    <row r="3">
      <c r="A3" s="4" t="inlineStr">
        <is>
          <t>Km di andata Scalea → hub (Battipaglia)</t>
        </is>
      </c>
      <c r="B3" s="5" t="n">
        <v>149</v>
      </c>
      <c r="C3" t="inlineStr">
        <is>
          <t>rome2rio, 149 km, 1 h 44 (letto il 04/10/2026)</t>
        </is>
      </c>
    </row>
    <row r="4">
      <c r="A4" s="4" t="inlineStr">
        <is>
          <t>Ore di guida di andata</t>
        </is>
      </c>
      <c r="B4" s="5" t="n">
        <v>1.75</v>
      </c>
      <c r="C4" t="inlineStr">
        <is>
          <t>rome2rio 1 h 44; arrotondato</t>
        </is>
      </c>
    </row>
    <row r="5">
      <c r="A5" s="4" t="inlineStr">
        <is>
          <t>Carburante di andata (€)</t>
        </is>
      </c>
      <c r="B5" s="5" t="n">
        <v>30</v>
      </c>
      <c r="C5" t="inlineStr">
        <is>
          <t>rome2rio 24-35 € a tratta</t>
        </is>
      </c>
    </row>
    <row r="6">
      <c r="A6" s="4" t="inlineStr">
        <is>
          <t>Usura, gomme, manutenzione (€/km)</t>
        </is>
      </c>
      <c r="B6" s="5" t="n">
        <v>0.1</v>
      </c>
      <c r="C6" t="inlineStr">
        <is>
          <t>STIMA</t>
        </is>
      </c>
    </row>
    <row r="7">
      <c r="A7" s="4" t="inlineStr">
        <is>
          <t>Ore al deposito (consegna pacchi)</t>
        </is>
      </c>
      <c r="B7" s="5" t="n">
        <v>0.5</v>
      </c>
      <c r="C7" t="inlineStr">
        <is>
          <t>STIMA</t>
        </is>
      </c>
    </row>
    <row r="8">
      <c r="A8" s="4" t="inlineStr">
        <is>
          <t>Corse al mese</t>
        </is>
      </c>
      <c r="B8" s="5" t="n">
        <v>22</v>
      </c>
      <c r="C8" t="inlineStr">
        <is>
          <t>una ogni giorno lavorativo</t>
        </is>
      </c>
    </row>
    <row r="9">
      <c r="A9" s="4" t="inlineStr">
        <is>
          <t>Valore di un'ora di chi guida (€)</t>
        </is>
      </c>
      <c r="B9" s="5" t="n">
        <v>15</v>
      </c>
      <c r="C9" t="inlineStr">
        <is>
          <t>IPOTESI: un'ora tolta al campo o al laboratorio</t>
        </is>
      </c>
    </row>
    <row r="10">
      <c r="A10" s="4" t="inlineStr">
        <is>
          <t>3PL: picking + packing per ordine (€)</t>
        </is>
      </c>
      <c r="B10" s="5" t="n">
        <v>2</v>
      </c>
      <c r="C10" t="inlineStr">
        <is>
          <t>Tissquad 01/04/2026: picking 0,80-1,50 + packing 0,50-1,00</t>
        </is>
      </c>
    </row>
    <row r="11">
      <c r="A11" s="4" t="inlineStr">
        <is>
          <t>3PL: materiali per pacco (€)</t>
        </is>
      </c>
      <c r="B11" s="5" t="n">
        <v>0.75</v>
      </c>
      <c r="C11" t="inlineStr">
        <is>
          <t>Tissquad: 0,50-1,00</t>
        </is>
      </c>
    </row>
    <row r="12">
      <c r="A12" s="4" t="inlineStr">
        <is>
          <t>3PL: costo di un pallet al mese (€)</t>
        </is>
      </c>
      <c r="B12" s="5" t="n">
        <v>40</v>
      </c>
      <c r="C12" t="inlineStr">
        <is>
          <t>Tissquad: 25-50 €/pallet/mese</t>
        </is>
      </c>
    </row>
    <row r="13">
      <c r="A13" s="4" t="inlineStr">
        <is>
          <t>3PL: pallet occupati</t>
        </is>
      </c>
      <c r="B13" s="5" t="n">
        <v>2</v>
      </c>
      <c r="C13" t="inlineStr">
        <is>
          <t>IPOTESI: 2 pallet di vasetti bastano per 2-3 mesi</t>
        </is>
      </c>
    </row>
    <row r="14">
      <c r="A14" s="4" t="inlineStr">
        <is>
          <t>3PL: rifornimento al mese da Scalea (€)</t>
        </is>
      </c>
      <c r="B14" s="5" t="n">
        <v>90</v>
      </c>
      <c r="C14" t="inlineStr">
        <is>
          <t>STIMA: una corsa al mese o un bancale col corriere</t>
        </is>
      </c>
    </row>
    <row r="15">
      <c r="A15" s="4" t="inlineStr">
        <is>
          <t>3PL: spedizione dall'hub, 0-2 kg (€)</t>
        </is>
      </c>
      <c r="B15" s="5" t="n">
        <v>5</v>
      </c>
      <c r="C15" t="inlineStr">
        <is>
          <t>Tissquad: Nord 3,50-5,00; da Scalea oggi 7-7,50 (03)</t>
        </is>
      </c>
    </row>
    <row r="17">
      <c r="A17" s="6" t="inlineStr">
        <is>
          <t>Una corsa (andata e ritorno): euro</t>
        </is>
      </c>
      <c r="B17" s="7">
        <f>2*Logistica!$B$5+2*Logistica!$B$3*Logistica!$B$6</f>
        <v/>
      </c>
    </row>
    <row r="18">
      <c r="A18" s="6" t="inlineStr">
        <is>
          <t>Una corsa: ore</t>
        </is>
      </c>
      <c r="B18" s="7">
        <f>2*Logistica!$B$4+Logistica!$B$7</f>
        <v/>
      </c>
    </row>
    <row r="19">
      <c r="A19" s="6" t="inlineStr">
        <is>
          <t>Al mese: euro / ore</t>
        </is>
      </c>
      <c r="B19" s="7">
        <f>B17*Logistica!$B$8</f>
        <v/>
      </c>
      <c r="C19" s="7">
        <f>B18*Logistica!$B$8</f>
        <v/>
      </c>
    </row>
    <row r="21" ht="36" customHeight="1">
      <c r="A21" s="3" t="inlineStr">
        <is>
          <t>Ordini al mese</t>
        </is>
      </c>
      <c r="B21" s="3" t="inlineStr">
        <is>
          <t>Corsa: € per ordine</t>
        </is>
      </c>
      <c r="C21" s="3" t="inlineStr">
        <is>
          <t>Corsa con il tempo: € per ordine</t>
        </is>
      </c>
      <c r="D21" s="3" t="inlineStr">
        <is>
          <t>3PL: € per ordine</t>
        </is>
      </c>
      <c r="E21" s="3" t="inlineStr">
        <is>
          <t>3PL meno risparmio di spedizione e imballo</t>
        </is>
      </c>
    </row>
    <row r="22">
      <c r="A22" s="8" t="n">
        <v>50</v>
      </c>
      <c r="B22" s="13">
        <f>Logistica!$B$19/A22</f>
        <v/>
      </c>
      <c r="C22" s="13">
        <f>(Logistica!$B$19+Logistica!$C$19*Logistica!$B$9)/A22</f>
        <v/>
      </c>
      <c r="D22" s="13">
        <f>Logistica!$B$10+Logistica!$B$11+(Logistica!$B$12*Logistica!$B$13+Logistica!$B$14)/A22</f>
        <v/>
      </c>
      <c r="E22" s="13">
        <f>D22-('Conti per prodotto'!$M$10-Logistica!$B$15)-'Conti per prodotto'!$L$10</f>
        <v/>
      </c>
    </row>
    <row r="23">
      <c r="A23" s="8" t="n">
        <v>100</v>
      </c>
      <c r="B23" s="13">
        <f>Logistica!$B$19/A23</f>
        <v/>
      </c>
      <c r="C23" s="13">
        <f>(Logistica!$B$19+Logistica!$C$19*Logistica!$B$9)/A23</f>
        <v/>
      </c>
      <c r="D23" s="13">
        <f>Logistica!$B$10+Logistica!$B$11+(Logistica!$B$12*Logistica!$B$13+Logistica!$B$14)/A23</f>
        <v/>
      </c>
      <c r="E23" s="13">
        <f>D23-('Conti per prodotto'!$M$10-Logistica!$B$15)-'Conti per prodotto'!$L$10</f>
        <v/>
      </c>
    </row>
    <row r="24">
      <c r="A24" s="8" t="n">
        <v>150</v>
      </c>
      <c r="B24" s="13">
        <f>Logistica!$B$19/A24</f>
        <v/>
      </c>
      <c r="C24" s="13">
        <f>(Logistica!$B$19+Logistica!$C$19*Logistica!$B$9)/A24</f>
        <v/>
      </c>
      <c r="D24" s="13">
        <f>Logistica!$B$10+Logistica!$B$11+(Logistica!$B$12*Logistica!$B$13+Logistica!$B$14)/A24</f>
        <v/>
      </c>
      <c r="E24" s="13">
        <f>D24-('Conti per prodotto'!$M$10-Logistica!$B$15)-'Conti per prodotto'!$L$10</f>
        <v/>
      </c>
    </row>
    <row r="25">
      <c r="A25" s="8" t="n">
        <v>300</v>
      </c>
      <c r="B25" s="13">
        <f>Logistica!$B$19/A25</f>
        <v/>
      </c>
      <c r="C25" s="13">
        <f>(Logistica!$B$19+Logistica!$C$19*Logistica!$B$9)/A25</f>
        <v/>
      </c>
      <c r="D25" s="13">
        <f>Logistica!$B$10+Logistica!$B$11+(Logistica!$B$12*Logistica!$B$13+Logistica!$B$14)/A25</f>
        <v/>
      </c>
      <c r="E25" s="13">
        <f>D25-('Conti per prodotto'!$M$10-Logistica!$B$15)-'Conti per prodotto'!$L$10</f>
        <v/>
      </c>
    </row>
    <row r="26">
      <c r="A26" s="8" t="n">
        <v>600</v>
      </c>
      <c r="B26" s="13">
        <f>Logistica!$B$19/A26</f>
        <v/>
      </c>
      <c r="C26" s="13">
        <f>(Logistica!$B$19+Logistica!$C$19*Logistica!$B$9)/A26</f>
        <v/>
      </c>
      <c r="D26" s="13">
        <f>Logistica!$B$10+Logistica!$B$11+(Logistica!$B$12*Logistica!$B$13+Logistica!$B$14)/A26</f>
        <v/>
      </c>
      <c r="E26" s="13">
        <f>D26-('Conti per prodotto'!$M$10-Logistica!$B$15)-'Conti per prodotto'!$L$10</f>
        <v/>
      </c>
    </row>
    <row r="27">
      <c r="A27" s="8" t="n">
        <v>1000</v>
      </c>
      <c r="B27" s="13">
        <f>Logistica!$B$19/A27</f>
        <v/>
      </c>
      <c r="C27" s="13">
        <f>(Logistica!$B$19+Logistica!$C$19*Logistica!$B$9)/A27</f>
        <v/>
      </c>
      <c r="D27" s="13">
        <f>Logistica!$B$10+Logistica!$B$11+(Logistica!$B$12*Logistica!$B$13+Logistica!$B$14)/A27</f>
        <v/>
      </c>
      <c r="E27" s="13">
        <f>D27-('Conti per prodotto'!$M$10-Logistica!$B$15)-'Conti per prodotto'!$L$10</f>
        <v/>
      </c>
    </row>
    <row r="29">
      <c r="A29" t="inlineStr">
        <is>
          <t>Lettura: la corsa costa uguale con 50 o con 1.000 ordini, quindi pesa per ordine solo quando i volumi sono alti. Il 3PL costa per ordine ma toglie l'imballo e la spedizione da Calabria (più cara e con un giorno in più). Colonna E: costo netto del 3PL rispetto a spedire da Scalea; vicino a zero = conviene già.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80" customWidth="1" min="7" max="7"/>
  </cols>
  <sheetData>
    <row r="1">
      <c r="A1" s="17" t="inlineStr">
        <is>
          <t>Cosa succede a un ordine medio con diversi accordi (scenario medio, anno 1)</t>
        </is>
      </c>
    </row>
    <row r="2" ht="40" customHeight="1">
      <c r="A2" s="3" t="inlineStr">
        <is>
          <t>Accordo</t>
        </is>
      </c>
      <c r="B2" s="3" t="inlineStr">
        <is>
          <t>Base (lordo/netto)</t>
        </is>
      </c>
      <c r="C2" s="3" t="inlineStr">
        <is>
          <t>Quota %</t>
        </is>
      </c>
      <c r="D2" s="3" t="inlineStr">
        <is>
          <t>B2Brand per ordine (€)</t>
        </is>
      </c>
      <c r="E2" s="3" t="inlineStr">
        <is>
          <t>Kalab margine per ordine (€)</t>
        </is>
      </c>
      <c r="F2" s="3" t="inlineStr">
        <is>
          <t>Kalab margine % prezzo</t>
        </is>
      </c>
      <c r="G2" s="3" t="inlineStr">
        <is>
          <t>Commento</t>
        </is>
      </c>
    </row>
    <row r="3">
      <c r="A3" s="4" t="inlineStr">
        <is>
          <t>50% dell'incasso lordo (proposta di Kalab)</t>
        </is>
      </c>
      <c r="B3" s="5" t="inlineStr">
        <is>
          <t>lordo</t>
        </is>
      </c>
      <c r="C3" s="26" t="n">
        <v>0.5</v>
      </c>
      <c r="D3" s="12">
        <f>IF(B3="lordo",'Conti per prodotto'!$H$10,'Conti per prodotto'!$G$10)*C3</f>
        <v/>
      </c>
      <c r="E3" s="12">
        <f>'Conti per prodotto'!$O$10+'Conti per prodotto'!$I$10-D3</f>
        <v/>
      </c>
      <c r="F3" s="30">
        <f>E3/'Conti per prodotto'!$B$10</f>
        <v/>
      </c>
      <c r="G3" t="inlineStr">
        <is>
          <t>Quota su merce + spedizione incassata, IVA inclusa: la lettura letterale di «50% dell'incasso».</t>
        </is>
      </c>
    </row>
    <row r="4">
      <c r="A4" s="4" t="inlineStr">
        <is>
          <t>50% dell'incassato netto (senza IVA, spedizione e commissioni)</t>
        </is>
      </c>
      <c r="B4" s="5" t="inlineStr">
        <is>
          <t>netto</t>
        </is>
      </c>
      <c r="C4" s="26" t="n">
        <v>0.5</v>
      </c>
      <c r="D4" s="12">
        <f>IF(B4="lordo",'Conti per prodotto'!$H$10,'Conti per prodotto'!$G$10)*C4</f>
        <v/>
      </c>
      <c r="E4" s="12">
        <f>'Conti per prodotto'!$O$10+'Conti per prodotto'!$I$10-D4</f>
        <v/>
      </c>
      <c r="F4" s="30">
        <f>E4/'Conti per prodotto'!$B$10</f>
        <v/>
      </c>
      <c r="G4" t="inlineStr">
        <is>
          <t>Stessa percentuale, base più piccola: è la prassi del settore (07 B1e).</t>
        </is>
      </c>
    </row>
    <row r="5">
      <c r="A5" s="4" t="inlineStr">
        <is>
          <t>40% dell'incassato netto</t>
        </is>
      </c>
      <c r="B5" s="5" t="inlineStr">
        <is>
          <t>netto</t>
        </is>
      </c>
      <c r="C5" s="26" t="n">
        <v>0.4</v>
      </c>
      <c r="D5" s="12">
        <f>IF(B5="lordo",'Conti per prodotto'!$H$10,'Conti per prodotto'!$G$10)*C5</f>
        <v/>
      </c>
      <c r="E5" s="12">
        <f>'Conti per prodotto'!$O$10+'Conti per prodotto'!$I$10-D5</f>
        <v/>
      </c>
      <c r="F5" s="30">
        <f>E5/'Conti per prodotto'!$B$10</f>
        <v/>
      </c>
      <c r="G5" t="inlineStr">
        <is>
          <t>Primo scaglione proposto: fino al rientro documentato dell'anticipo di B2Brand.</t>
        </is>
      </c>
    </row>
    <row r="6">
      <c r="A6" s="4" t="inlineStr">
        <is>
          <t>30% dell'incassato netto</t>
        </is>
      </c>
      <c r="B6" s="5" t="inlineStr">
        <is>
          <t>netto</t>
        </is>
      </c>
      <c r="C6" s="26" t="n">
        <v>0.3</v>
      </c>
      <c r="D6" s="12">
        <f>IF(B6="lordo",'Conti per prodotto'!$H$10,'Conti per prodotto'!$G$10)*C6</f>
        <v/>
      </c>
      <c r="E6" s="12">
        <f>'Conti per prodotto'!$O$10+'Conti per prodotto'!$I$10-D6</f>
        <v/>
      </c>
      <c r="F6" s="30">
        <f>E6/'Conti per prodotto'!$B$10</f>
        <v/>
      </c>
      <c r="G6" t="inlineStr">
        <is>
          <t>Secondo scaglione, dopo il rientro. Fascia alta dell'outsourcing italiano (15-30%, 07).</t>
        </is>
      </c>
    </row>
    <row r="7">
      <c r="A7" s="4" t="inlineStr">
        <is>
          <t>20% dell'incassato netto</t>
        </is>
      </c>
      <c r="B7" s="5" t="inlineStr">
        <is>
          <t>netto</t>
        </is>
      </c>
      <c r="C7" s="26" t="n">
        <v>0.2</v>
      </c>
      <c r="D7" s="12">
        <f>IF(B7="lordo",'Conti per prodotto'!$H$10,'Conti per prodotto'!$G$10)*C7</f>
        <v/>
      </c>
      <c r="E7" s="12">
        <f>'Conti per prodotto'!$O$10+'Conti per prodotto'!$I$10-D7</f>
        <v/>
      </c>
      <c r="F7" s="30">
        <f>E7/'Conti per prodotto'!$B$10</f>
        <v/>
      </c>
      <c r="G7" t="inlineStr">
        <is>
          <t>Terzo scaglione sopra una soglia annua. Sotto, B2Brand non copre nemmeno le ore.</t>
        </is>
      </c>
    </row>
    <row r="8">
      <c r="A8" s="4" t="inlineStr">
        <is>
          <t>10% netto sugli ordini B2B passati dal sito</t>
        </is>
      </c>
      <c r="B8" s="5" t="inlineStr">
        <is>
          <t>netto</t>
        </is>
      </c>
      <c r="C8" s="26" t="n">
        <v>0.1</v>
      </c>
      <c r="D8" s="12">
        <f>IF(B8="lordo",'Conti per prodotto'!$H$10,'Conti per prodotto'!$G$10)*C8</f>
        <v/>
      </c>
      <c r="E8" s="12">
        <f>'Conti per prodotto'!$O$10+'Conti per prodotto'!$I$10-D8</f>
        <v/>
      </c>
      <c r="F8" s="30">
        <f>E8/'Conti per prodotto'!$B$10</f>
        <v/>
      </c>
      <c r="G8" t="inlineStr">
        <is>
          <t>Per ristoranti, bar e botteghe che ordinano dal sito con listino riservato: volumi alti, margine basso.</t>
        </is>
      </c>
    </row>
    <row r="10">
      <c r="A10" t="inlineStr">
        <is>
          <t>Lettura: l'ordine medio è quello del foglio Conti (mix di categorie). Il margine di Kalab è dopo prodotto, imballo, spedizione vera e perdite. Per vedere l'effetto sui 36 mesi, cambiare quota e base nel foglio Ipotesi.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2026-10-04T13:45:17Z</dcterms:created>
  <dcterms:modified xmlns:dcterms="http://purl.org/dc/terms/" xmlns:xsi="http://www.w3.org/2001/XMLSchema-instance" xsi:type="dcterms:W3CDTF">2026-10-04T13:45:17Z</dcterms:modified>
</cp:coreProperties>
</file>