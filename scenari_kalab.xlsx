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Ipotesi" sheetId="2" state="visible" r:id="rId2"/>
    <sheet xmlns:r="http://schemas.openxmlformats.org/officeDocument/2006/relationships" name="Conti per prodotto" sheetId="3" state="visible" r:id="rId3"/>
    <sheet xmlns:r="http://schemas.openxmlformats.org/officeDocument/2006/relationships" name="Costi B2Brand" sheetId="4" state="visible" r:id="rId4"/>
    <sheet xmlns:r="http://schemas.openxmlformats.org/officeDocument/2006/relationships" name="Stagionalità" sheetId="5" state="visible" r:id="rId5"/>
    <sheet xmlns:r="http://schemas.openxmlformats.org/officeDocument/2006/relationships" name="Scenari" sheetId="6" state="visible" r:id="rId6"/>
    <sheet xmlns:r="http://schemas.openxmlformats.org/officeDocument/2006/relationships" name="Logistica" sheetId="7" state="visible" r:id="rId7"/>
    <sheet xmlns:r="http://schemas.openxmlformats.org/officeDocument/2006/relationships" name="Confronto accord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color rgb="0080808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0" pivotButton="0" quotePrefix="0" xfId="0"/>
    <xf numFmtId="0" fontId="0" fillId="3" borderId="0" pivotButton="0" quotePrefix="0" xfId="0"/>
    <xf numFmtId="2" fontId="0" fillId="0" borderId="1" pivotButton="0" quotePrefix="0" xfId="0"/>
    <xf numFmtId="2" fontId="0" fillId="4" borderId="1" pivotButton="0" quotePrefix="0" xfId="0"/>
    <xf numFmtId="9" fontId="0" fillId="0" borderId="1" pivotButton="0" quotePrefix="0" xfId="0"/>
    <xf numFmtId="2" fontId="0" fillId="4" borderId="0" pivotButton="0" quotePrefix="0" xfId="0"/>
    <xf numFmtId="2" fontId="0" fillId="0" borderId="0" pivotButton="0" quotePrefix="0" xfId="0"/>
    <xf numFmtId="9" fontId="0" fillId="4" borderId="0" pivotButton="0" quotePrefix="0" xfId="0"/>
    <xf numFmtId="0" fontId="2" fillId="2" borderId="1" pivotButton="0" quotePrefix="0" xfId="0"/>
    <xf numFmtId="0" fontId="2" fillId="4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0" borderId="1" pivotButton="0" quotePrefix="0" xfId="0"/>
    <xf numFmtId="3" fontId="0" fillId="4" borderId="1" pivotButton="0" quotePrefix="0" xfId="0"/>
    <xf numFmtId="0" fontId="4" fillId="0" borderId="1" pivotButton="0" quotePrefix="0" xfId="0"/>
    <xf numFmtId="3" fontId="0" fillId="4" borderId="0" pivotButton="0" quotePrefix="0" xfId="0"/>
    <xf numFmtId="9" fontId="0" fillId="3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Scenari Kalab × B2Brand — come usare questo foglio (aggiornato il 04/10/2026)</t>
        </is>
      </c>
    </row>
    <row r="2">
      <c r="A2" s="2" t="inlineStr"/>
    </row>
    <row r="3">
      <c r="A3" s="2" t="inlineStr">
        <is>
          <t>Le celle AZZURRE sono ipotesi: cambiale e tutto il resto si ricalcola. Le celle VERDI sono i risultati da guardare.</t>
        </is>
      </c>
    </row>
    <row r="4">
      <c r="A4" s="2" t="inlineStr"/>
    </row>
    <row r="5">
      <c r="A5" s="2" t="inlineStr">
        <is>
          <t>Cosa è cambiato il 04/10: costo vero delle creme (~1 € a vasetto, da Luciano); catalogo solo non deperibile (polveri, secco, creme, sott'olio, kit e box: semi, piantine e fresco a mix zero); accordo 50% calcolato sulla merce netta; obiettivo di B2Brand 1.000 € di cassa al mese; nuovo foglio Logistica.</t>
        </is>
      </c>
    </row>
    <row r="6">
      <c r="A6" s="2" t="inlineStr"/>
    </row>
    <row r="7">
      <c r="A7" s="2" t="inlineStr">
        <is>
          <t>Fogli:</t>
        </is>
      </c>
    </row>
    <row r="8">
      <c r="A8" s="2" t="inlineStr">
        <is>
          <t>• Ipotesi — un «ordine tipo» per categoria: prezzo, IVA, costi, spedizione, commissioni, quota del mix. In fondo: percentuale di B2Brand, base di calcolo («netto» = merce senza IVA e senza commissioni, la spedizione passa a Kalab al costo; «lordo» = tutto l'incasso, IVA e spedizione comprese) e obiettivo mensile di B2Brand.</t>
        </is>
      </c>
    </row>
    <row r="9">
      <c r="A9" s="2" t="inlineStr">
        <is>
          <t>• Conti per prodotto — per ogni ordine tipo: quanto va a B2Brand e quanto resta a Kalab dopo prodotto, imballo, spedizione e perdite (colonna O).</t>
        </is>
      </c>
    </row>
    <row r="10">
      <c r="A10" s="2" t="inlineStr">
        <is>
          <t>• Costi B2Brand — quello che B2Brand anticipa e spende ogni mese, diviso in «cassa» (soldi che escono) e «ore» (tempo interno a 35 €/h).</t>
        </is>
      </c>
    </row>
    <row r="11">
      <c r="A11" s="2" t="inlineStr">
        <is>
          <t>• Stagionalità — peso di ogni mese (media = 1), da Google Trends e dai dati del Natale online.</t>
        </is>
      </c>
    </row>
    <row r="12">
      <c r="A12" s="2" t="inlineStr">
        <is>
          <t>• Scenari — in alto le leve (ordini, pubblicità) e gli ordini al mese che servono per l'obiettivo; sotto, 36 mesi per scenario con netto di cassa e netto a costo pieno; in fondo il riepilogo (primo mese sopra l'obiettivo, rientro, esposizione).</t>
        </is>
      </c>
    </row>
    <row r="13">
      <c r="A13" s="2" t="inlineStr">
        <is>
          <t>• Logistica — quanto costa a ordine la corsa pomeridiana all'hub contro un magazzino conto terzi vicino all'hub.</t>
        </is>
      </c>
    </row>
    <row r="14">
      <c r="A14" s="2" t="inlineStr">
        <is>
          <t>• Confronto accordi — lo stesso ordine medio con percentuali e basi diverse.</t>
        </is>
      </c>
    </row>
    <row r="15">
      <c r="A15" s="2" t="inlineStr"/>
    </row>
    <row r="16">
      <c r="A16" s="2" t="inlineStr">
        <is>
          <t>Avvertenze:</t>
        </is>
      </c>
    </row>
    <row r="17">
      <c r="A17" s="2" t="inlineStr">
        <is>
          <t>• I costi di polveri, sott'olio e kit sono ancora STIME allineate al dato delle creme: vanno chiesti a Luciano.</t>
        </is>
      </c>
    </row>
    <row r="18">
      <c r="A18" s="2" t="inlineStr">
        <is>
          <t>• «Netto di cassa» è prima delle tasse di B2Brand. La quota è senza IVA: se Kalab è nel regime speciale agricolo, l'IVA sulla fattura di B2Brand per lui è un costo (report, cap. 7).</t>
        </is>
      </c>
    </row>
    <row r="19">
      <c r="A19" s="2" t="inlineStr">
        <is>
          <t>• Il mese 1 del piano è marzo 2027. Si cambia in scenari/ipotesi.py (mese_avvio) e si rigenera con: python3 scenari/genera_xlsx.py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70" customWidth="1" min="12" max="12"/>
  </cols>
  <sheetData>
    <row r="1" ht="48" customHeight="1">
      <c r="A1" s="3" t="inlineStr">
        <is>
          <t>Categoria</t>
        </is>
      </c>
      <c r="B1" s="3" t="inlineStr">
        <is>
          <t>Prezzo medio al pubblico (€, IVA incl.)</t>
        </is>
      </c>
      <c r="C1" s="3" t="inlineStr">
        <is>
          <t>IVA %</t>
        </is>
      </c>
      <c r="D1" s="3" t="inlineStr">
        <is>
          <t>Costo prodotto (€)</t>
        </is>
      </c>
      <c r="E1" s="3" t="inlineStr">
        <is>
          <t>Imballo (€)</t>
        </is>
      </c>
      <c r="F1" s="3" t="inlineStr">
        <is>
          <t>Spedizione pagata dal cliente (€)</t>
        </is>
      </c>
      <c r="G1" s="3" t="inlineStr">
        <is>
          <t>Spedizione costo vero (€)</t>
        </is>
      </c>
      <c r="H1" s="3" t="inlineStr">
        <is>
          <t>Commissione pagamento %</t>
        </is>
      </c>
      <c r="I1" s="3" t="inlineStr">
        <is>
          <t>Commissione pagamento fissa (€)</t>
        </is>
      </c>
      <c r="J1" s="3" t="inlineStr">
        <is>
          <t>Tasso resi/perdite %</t>
        </is>
      </c>
      <c r="K1" s="3" t="inlineStr">
        <is>
          <t>Quota del mix ordini %</t>
        </is>
      </c>
      <c r="L1" s="3" t="inlineStr">
        <is>
          <t>Fonte / nota</t>
        </is>
      </c>
    </row>
    <row r="2">
      <c r="A2" s="4" t="inlineStr">
        <is>
          <t>Polveri e secco (4 vasetti 12-15 g o 2 + sacchetti)</t>
        </is>
      </c>
      <c r="B2" s="5" t="n">
        <v>28</v>
      </c>
      <c r="C2" s="5" t="n">
        <v>0.1</v>
      </c>
      <c r="D2" s="5" t="n">
        <v>4</v>
      </c>
      <c r="E2" s="5" t="n">
        <v>0.8</v>
      </c>
      <c r="F2" s="5" t="n">
        <v>5.9</v>
      </c>
      <c r="G2" s="5" t="n">
        <v>7</v>
      </c>
      <c r="H2" s="5" t="n">
        <v>0.02</v>
      </c>
      <c r="I2" s="5" t="n">
        <v>0.25</v>
      </c>
      <c r="J2" s="5" t="n">
        <v>0.01</v>
      </c>
      <c r="K2" s="5" t="n">
        <v>0.3</v>
      </c>
      <c r="L2" s="4" t="inlineStr">
        <is>
          <t>Prezzi: Peperita 12 g 4,95-11,50 €, calabresi 50-100 g 3,50-6 € (ricerca 02/04). Costo STIMA ~1 €/vasetto, in linea col dato di Luciano sulle creme (04/10). Spedizione: secco 1 kg Italia 6-11 € a listino, 7 € con tariffa negoziata (03).</t>
        </is>
      </c>
    </row>
    <row r="3">
      <c r="A3" s="4" t="inlineStr">
        <is>
          <t>Creme e salse (3 vasetti a 7,50 €)</t>
        </is>
      </c>
      <c r="B3" s="5" t="n">
        <v>22.5</v>
      </c>
      <c r="C3" s="5" t="n">
        <v>0.1</v>
      </c>
      <c r="D3" s="5" t="n">
        <v>3</v>
      </c>
      <c r="E3" s="5" t="n">
        <v>1.2</v>
      </c>
      <c r="F3" s="5" t="n">
        <v>5.9</v>
      </c>
      <c r="G3" s="5" t="n">
        <v>7.5</v>
      </c>
      <c r="H3" s="5" t="n">
        <v>0.02</v>
      </c>
      <c r="I3" s="5" t="n">
        <v>0.25</v>
      </c>
      <c r="J3" s="5" t="n">
        <v>0.02</v>
      </c>
      <c r="K3" s="5" t="n">
        <v>0.35</v>
      </c>
      <c r="L3" s="4" t="inlineStr">
        <is>
          <t>DATO KALAB: prezzo 7,50 €/crema (kalab.it); costo ~1 €/vasetto (Luciano, riferito da Davide il 04/10/2026).</t>
        </is>
      </c>
    </row>
    <row r="4">
      <c r="A4" s="4" t="inlineStr">
        <is>
          <t>Sott'olio e conserve (2 vasetti + 1 crema)</t>
        </is>
      </c>
      <c r="B4" s="5" t="n">
        <v>24</v>
      </c>
      <c r="C4" s="5" t="n">
        <v>0.1</v>
      </c>
      <c r="D4" s="5" t="n">
        <v>4</v>
      </c>
      <c r="E4" s="5" t="n">
        <v>1.5</v>
      </c>
      <c r="F4" s="5" t="n">
        <v>5.9</v>
      </c>
      <c r="G4" s="5" t="n">
        <v>8</v>
      </c>
      <c r="H4" s="5" t="n">
        <v>0.02</v>
      </c>
      <c r="I4" s="5" t="n">
        <v>0.25</v>
      </c>
      <c r="J4" s="5" t="n">
        <v>0.02</v>
      </c>
      <c r="K4" s="5" t="n">
        <v>0.1</v>
      </c>
      <c r="L4" s="4" t="inlineStr">
        <is>
          <t>Prezzi 4,49-9 € a vasetto (02). Costo STIMA 1,5 €/vasetto (più olio delle creme; da chiedere a Luciano). Vetro pesante (1,5-2 kg): spedizione 8 € (03).</t>
        </is>
      </c>
    </row>
    <row r="5">
      <c r="A5" s="4" t="inlineStr">
        <is>
          <t>Semi (4 bustine)</t>
        </is>
      </c>
      <c r="B5" s="5" t="n">
        <v>14</v>
      </c>
      <c r="C5" s="5" t="n">
        <v>0.1</v>
      </c>
      <c r="D5" s="5" t="n">
        <v>1.6</v>
      </c>
      <c r="E5" s="5" t="n">
        <v>0.3</v>
      </c>
      <c r="F5" s="5" t="n">
        <v>2.9</v>
      </c>
      <c r="G5" s="5" t="n">
        <v>3</v>
      </c>
      <c r="H5" s="5" t="n">
        <v>0.02</v>
      </c>
      <c r="I5" s="5" t="n">
        <v>0.25</v>
      </c>
      <c r="J5" s="5" t="n">
        <v>0.01</v>
      </c>
      <c r="K5" s="5" t="n">
        <v>0</v>
      </c>
      <c r="L5" s="4" t="inlineStr">
        <is>
          <t>Prezzi 1-5 €/bustina (02); costo STIMA 0,35 € (04). Plico postale. ATTENZIONE: vincolo legge sementiera (04 §4).</t>
        </is>
      </c>
    </row>
    <row r="6">
      <c r="A6" s="4" t="inlineStr">
        <is>
          <t>Piantine (5 vasi, solo marzo-giugno)</t>
        </is>
      </c>
      <c r="B6" s="5" t="n">
        <v>25</v>
      </c>
      <c r="C6" s="5" t="n">
        <v>0.1</v>
      </c>
      <c r="D6" s="5" t="n">
        <v>10</v>
      </c>
      <c r="E6" s="5" t="n">
        <v>2.5</v>
      </c>
      <c r="F6" s="5" t="n">
        <v>8.9</v>
      </c>
      <c r="G6" s="5" t="n">
        <v>9.5</v>
      </c>
      <c r="H6" s="5" t="n">
        <v>0.02</v>
      </c>
      <c r="I6" s="5" t="n">
        <v>0.25</v>
      </c>
      <c r="J6" s="5" t="n">
        <v>0.08</v>
      </c>
      <c r="K6" s="5" t="n">
        <v>0</v>
      </c>
      <c r="L6" s="4" t="inlineStr">
        <is>
          <t>Prezzi 2,70-5 €/vaso (02); costo STIMA 1,5-2 € (04). Serve RUOP + passaporto piante. Resi alti: viva.</t>
        </is>
      </c>
    </row>
    <row r="7">
      <c r="A7" s="4" t="inlineStr">
        <is>
          <t>Kit degustazione / box regalo</t>
        </is>
      </c>
      <c r="B7" s="5" t="n">
        <v>38</v>
      </c>
      <c r="C7" s="5" t="n">
        <v>0.1</v>
      </c>
      <c r="D7" s="5" t="n">
        <v>6</v>
      </c>
      <c r="E7" s="5" t="n">
        <v>2</v>
      </c>
      <c r="F7" s="5" t="n">
        <v>5.9</v>
      </c>
      <c r="G7" s="5" t="n">
        <v>7</v>
      </c>
      <c r="H7" s="5" t="n">
        <v>0.02</v>
      </c>
      <c r="I7" s="5" t="n">
        <v>0.25</v>
      </c>
      <c r="J7" s="5" t="n">
        <v>0.02</v>
      </c>
      <c r="K7" s="5" t="n">
        <v>0.25</v>
      </c>
      <c r="L7" s="4" t="inlineStr">
        <is>
          <t>Prezzi 25-45 € (02/04); costo STIMA 5 vasetti a ~1 € + astuccio. Picco nov-dic.</t>
        </is>
      </c>
    </row>
    <row r="8">
      <c r="A8" s="4" t="inlineStr">
        <is>
          <t>Fresco 1 kg isotermico, solo Italia 24 h</t>
        </is>
      </c>
      <c r="B8" s="5" t="n">
        <v>20</v>
      </c>
      <c r="C8" s="5" t="n">
        <v>0.04</v>
      </c>
      <c r="D8" s="5" t="n">
        <v>4.5</v>
      </c>
      <c r="E8" s="5" t="n">
        <v>4</v>
      </c>
      <c r="F8" s="5" t="n">
        <v>9.9</v>
      </c>
      <c r="G8" s="5" t="n">
        <v>15</v>
      </c>
      <c r="H8" s="5" t="n">
        <v>0.02</v>
      </c>
      <c r="I8" s="5" t="n">
        <v>0.25</v>
      </c>
      <c r="J8" s="5" t="n">
        <v>0.1</v>
      </c>
      <c r="K8" s="5" t="n">
        <v>0</v>
      </c>
      <c r="L8" s="4" t="inlineStr">
        <is>
          <t>Prezzi 12-24 €/kg varietà nominate (02). Costo STIMA; imballo isotermico+gel STIMA 3-5 €; espresso 24 h 12-18 € negoziato (03 §costo a pacco: 17-25 € tutto compreso). Resi 10% = esperienza Natale scorso.</t>
        </is>
      </c>
    </row>
    <row r="10">
      <c r="A10" s="6" t="inlineStr">
        <is>
          <t>Controllo: il mix deve fare 100%</t>
        </is>
      </c>
      <c r="K10" s="7">
        <f>SUM(K2:K8)</f>
        <v/>
      </c>
    </row>
    <row r="12">
      <c r="A12" s="6" t="inlineStr">
        <is>
          <t>Quota B2Brand sull'incasso (ipotesi base)</t>
        </is>
      </c>
      <c r="B12" s="8" t="n">
        <v>0.5</v>
      </c>
      <c r="C12" t="inlineStr">
        <is>
          <t>Il 50% proposto da Kalab. Cambiare qui per vedere l'effetto ovunque.</t>
        </is>
      </c>
    </row>
    <row r="13">
      <c r="A13" s="6" t="inlineStr">
        <is>
          <t>Base di calcolo della quota</t>
        </is>
      </c>
      <c r="B13" s="8" t="inlineStr">
        <is>
          <t>netto</t>
        </is>
      </c>
      <c r="C13" t="inlineStr">
        <is>
          <t>"lordo" = sull'incasso IVA inclusa; "netto" = incasso senza IVA, senza spedizione incassata, senza commissioni di pagamento</t>
        </is>
      </c>
    </row>
    <row r="14">
      <c r="A14" s="6" t="inlineStr">
        <is>
          <t>Obiettivo B2Brand: euro di cassa al mese</t>
        </is>
      </c>
      <c r="B14" s="8" t="n">
        <v>1000</v>
      </c>
      <c r="C14" t="inlineStr">
        <is>
          <t>Quota incassata meno spese vive e pubblicità, prima delle tasse. Le ore di B2Brand sono a parte (foglio Scenari, colonne «costo pieno»).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8" customHeight="1">
      <c r="A1" s="3" t="inlineStr">
        <is>
          <t>Categoria</t>
        </is>
      </c>
      <c r="B1" s="3" t="inlineStr">
        <is>
          <t>Prezzo pubblico</t>
        </is>
      </c>
      <c r="C1" s="3" t="inlineStr">
        <is>
          <t>IVA</t>
        </is>
      </c>
      <c r="D1" s="3" t="inlineStr">
        <is>
          <t>Netto IVA</t>
        </is>
      </c>
      <c r="E1" s="3" t="inlineStr">
        <is>
          <t>Spedizione incassata</t>
        </is>
      </c>
      <c r="F1" s="3" t="inlineStr">
        <is>
          <t>Commissioni pagamento</t>
        </is>
      </c>
      <c r="G1" s="3" t="inlineStr">
        <is>
          <t>Incasso netto (base 'netto')</t>
        </is>
      </c>
      <c r="H1" s="3" t="inlineStr">
        <is>
          <t>Base di calcolo quota</t>
        </is>
      </c>
      <c r="I1" s="3" t="inlineStr">
        <is>
          <t>Quota B2Brand (€)</t>
        </is>
      </c>
      <c r="J1" s="3" t="inlineStr">
        <is>
          <t>Resta a Kalab (lordo)</t>
        </is>
      </c>
      <c r="K1" s="3" t="inlineStr">
        <is>
          <t>Costo prodotto</t>
        </is>
      </c>
      <c r="L1" s="3" t="inlineStr">
        <is>
          <t>Imballo</t>
        </is>
      </c>
      <c r="M1" s="3" t="inlineStr">
        <is>
          <t>Spedizione vera</t>
        </is>
      </c>
      <c r="N1" s="3" t="inlineStr">
        <is>
          <t>Perdite per resi</t>
        </is>
      </c>
      <c r="O1" s="3" t="inlineStr">
        <is>
          <t>Margine Kalab (€)</t>
        </is>
      </c>
      <c r="P1" s="3" t="inlineStr">
        <is>
          <t>Margine Kalab % sul prezzo</t>
        </is>
      </c>
      <c r="Q1" s="3" t="inlineStr">
        <is>
          <t>Margine Kalab % sul suo incasso</t>
        </is>
      </c>
    </row>
    <row r="2">
      <c r="A2" s="4">
        <f>Ipotesi!A2</f>
        <v/>
      </c>
      <c r="B2" s="9">
        <f>Ipotesi!B2</f>
        <v/>
      </c>
      <c r="C2" s="9">
        <f>B2-B2/(1+Ipotesi!C2)</f>
        <v/>
      </c>
      <c r="D2" s="9">
        <f>B2-C2</f>
        <v/>
      </c>
      <c r="E2" s="9">
        <f>Ipotesi!F2</f>
        <v/>
      </c>
      <c r="F2" s="9">
        <f>(B2+E2)*Ipotesi!H2+Ipotesi!I2</f>
        <v/>
      </c>
      <c r="G2" s="9">
        <f>D2-F2</f>
        <v/>
      </c>
      <c r="H2" s="9">
        <f>IF(Ipotesi!$B$13="lordo",B2+E2,G2)</f>
        <v/>
      </c>
      <c r="I2" s="10">
        <f>H2*Ipotesi!$B$12</f>
        <v/>
      </c>
      <c r="J2" s="9">
        <f>D2+E2-F2-I2</f>
        <v/>
      </c>
      <c r="K2" s="9">
        <f>Ipotesi!D2</f>
        <v/>
      </c>
      <c r="L2" s="9">
        <f>Ipotesi!E2</f>
        <v/>
      </c>
      <c r="M2" s="9">
        <f>Ipotesi!G2</f>
        <v/>
      </c>
      <c r="N2" s="9">
        <f>(B2+Ipotesi!G2)*Ipotesi!J2</f>
        <v/>
      </c>
      <c r="O2" s="10">
        <f>J2-K2-L2-M2-N2</f>
        <v/>
      </c>
      <c r="P2" s="11">
        <f>O2/B2</f>
        <v/>
      </c>
      <c r="Q2" s="11">
        <f>IF(J2=0,0,O2/J2)</f>
        <v/>
      </c>
    </row>
    <row r="3">
      <c r="A3" s="4">
        <f>Ipotesi!A3</f>
        <v/>
      </c>
      <c r="B3" s="9">
        <f>Ipotesi!B3</f>
        <v/>
      </c>
      <c r="C3" s="9">
        <f>B3-B3/(1+Ipotesi!C3)</f>
        <v/>
      </c>
      <c r="D3" s="9">
        <f>B3-C3</f>
        <v/>
      </c>
      <c r="E3" s="9">
        <f>Ipotesi!F3</f>
        <v/>
      </c>
      <c r="F3" s="9">
        <f>(B3+E3)*Ipotesi!H3+Ipotesi!I3</f>
        <v/>
      </c>
      <c r="G3" s="9">
        <f>D3-F3</f>
        <v/>
      </c>
      <c r="H3" s="9">
        <f>IF(Ipotesi!$B$13="lordo",B3+E3,G3)</f>
        <v/>
      </c>
      <c r="I3" s="10">
        <f>H3*Ipotesi!$B$12</f>
        <v/>
      </c>
      <c r="J3" s="9">
        <f>D3+E3-F3-I3</f>
        <v/>
      </c>
      <c r="K3" s="9">
        <f>Ipotesi!D3</f>
        <v/>
      </c>
      <c r="L3" s="9">
        <f>Ipotesi!E3</f>
        <v/>
      </c>
      <c r="M3" s="9">
        <f>Ipotesi!G3</f>
        <v/>
      </c>
      <c r="N3" s="9">
        <f>(B3+Ipotesi!G3)*Ipotesi!J3</f>
        <v/>
      </c>
      <c r="O3" s="10">
        <f>J3-K3-L3-M3-N3</f>
        <v/>
      </c>
      <c r="P3" s="11">
        <f>O3/B3</f>
        <v/>
      </c>
      <c r="Q3" s="11">
        <f>IF(J3=0,0,O3/J3)</f>
        <v/>
      </c>
    </row>
    <row r="4">
      <c r="A4" s="4">
        <f>Ipotesi!A4</f>
        <v/>
      </c>
      <c r="B4" s="9">
        <f>Ipotesi!B4</f>
        <v/>
      </c>
      <c r="C4" s="9">
        <f>B4-B4/(1+Ipotesi!C4)</f>
        <v/>
      </c>
      <c r="D4" s="9">
        <f>B4-C4</f>
        <v/>
      </c>
      <c r="E4" s="9">
        <f>Ipotesi!F4</f>
        <v/>
      </c>
      <c r="F4" s="9">
        <f>(B4+E4)*Ipotesi!H4+Ipotesi!I4</f>
        <v/>
      </c>
      <c r="G4" s="9">
        <f>D4-F4</f>
        <v/>
      </c>
      <c r="H4" s="9">
        <f>IF(Ipotesi!$B$13="lordo",B4+E4,G4)</f>
        <v/>
      </c>
      <c r="I4" s="10">
        <f>H4*Ipotesi!$B$12</f>
        <v/>
      </c>
      <c r="J4" s="9">
        <f>D4+E4-F4-I4</f>
        <v/>
      </c>
      <c r="K4" s="9">
        <f>Ipotesi!D4</f>
        <v/>
      </c>
      <c r="L4" s="9">
        <f>Ipotesi!E4</f>
        <v/>
      </c>
      <c r="M4" s="9">
        <f>Ipotesi!G4</f>
        <v/>
      </c>
      <c r="N4" s="9">
        <f>(B4+Ipotesi!G4)*Ipotesi!J4</f>
        <v/>
      </c>
      <c r="O4" s="10">
        <f>J4-K4-L4-M4-N4</f>
        <v/>
      </c>
      <c r="P4" s="11">
        <f>O4/B4</f>
        <v/>
      </c>
      <c r="Q4" s="11">
        <f>IF(J4=0,0,O4/J4)</f>
        <v/>
      </c>
    </row>
    <row r="5">
      <c r="A5" s="4">
        <f>Ipotesi!A5</f>
        <v/>
      </c>
      <c r="B5" s="9">
        <f>Ipotesi!B5</f>
        <v/>
      </c>
      <c r="C5" s="9">
        <f>B5-B5/(1+Ipotesi!C5)</f>
        <v/>
      </c>
      <c r="D5" s="9">
        <f>B5-C5</f>
        <v/>
      </c>
      <c r="E5" s="9">
        <f>Ipotesi!F5</f>
        <v/>
      </c>
      <c r="F5" s="9">
        <f>(B5+E5)*Ipotesi!H5+Ipotesi!I5</f>
        <v/>
      </c>
      <c r="G5" s="9">
        <f>D5-F5</f>
        <v/>
      </c>
      <c r="H5" s="9">
        <f>IF(Ipotesi!$B$13="lordo",B5+E5,G5)</f>
        <v/>
      </c>
      <c r="I5" s="10">
        <f>H5*Ipotesi!$B$12</f>
        <v/>
      </c>
      <c r="J5" s="9">
        <f>D5+E5-F5-I5</f>
        <v/>
      </c>
      <c r="K5" s="9">
        <f>Ipotesi!D5</f>
        <v/>
      </c>
      <c r="L5" s="9">
        <f>Ipotesi!E5</f>
        <v/>
      </c>
      <c r="M5" s="9">
        <f>Ipotesi!G5</f>
        <v/>
      </c>
      <c r="N5" s="9">
        <f>(B5+Ipotesi!G5)*Ipotesi!J5</f>
        <v/>
      </c>
      <c r="O5" s="10">
        <f>J5-K5-L5-M5-N5</f>
        <v/>
      </c>
      <c r="P5" s="11">
        <f>O5/B5</f>
        <v/>
      </c>
      <c r="Q5" s="11">
        <f>IF(J5=0,0,O5/J5)</f>
        <v/>
      </c>
    </row>
    <row r="6">
      <c r="A6" s="4">
        <f>Ipotesi!A6</f>
        <v/>
      </c>
      <c r="B6" s="9">
        <f>Ipotesi!B6</f>
        <v/>
      </c>
      <c r="C6" s="9">
        <f>B6-B6/(1+Ipotesi!C6)</f>
        <v/>
      </c>
      <c r="D6" s="9">
        <f>B6-C6</f>
        <v/>
      </c>
      <c r="E6" s="9">
        <f>Ipotesi!F6</f>
        <v/>
      </c>
      <c r="F6" s="9">
        <f>(B6+E6)*Ipotesi!H6+Ipotesi!I6</f>
        <v/>
      </c>
      <c r="G6" s="9">
        <f>D6-F6</f>
        <v/>
      </c>
      <c r="H6" s="9">
        <f>IF(Ipotesi!$B$13="lordo",B6+E6,G6)</f>
        <v/>
      </c>
      <c r="I6" s="10">
        <f>H6*Ipotesi!$B$12</f>
        <v/>
      </c>
      <c r="J6" s="9">
        <f>D6+E6-F6-I6</f>
        <v/>
      </c>
      <c r="K6" s="9">
        <f>Ipotesi!D6</f>
        <v/>
      </c>
      <c r="L6" s="9">
        <f>Ipotesi!E6</f>
        <v/>
      </c>
      <c r="M6" s="9">
        <f>Ipotesi!G6</f>
        <v/>
      </c>
      <c r="N6" s="9">
        <f>(B6+Ipotesi!G6)*Ipotesi!J6</f>
        <v/>
      </c>
      <c r="O6" s="10">
        <f>J6-K6-L6-M6-N6</f>
        <v/>
      </c>
      <c r="P6" s="11">
        <f>O6/B6</f>
        <v/>
      </c>
      <c r="Q6" s="11">
        <f>IF(J6=0,0,O6/J6)</f>
        <v/>
      </c>
    </row>
    <row r="7">
      <c r="A7" s="4">
        <f>Ipotesi!A7</f>
        <v/>
      </c>
      <c r="B7" s="9">
        <f>Ipotesi!B7</f>
        <v/>
      </c>
      <c r="C7" s="9">
        <f>B7-B7/(1+Ipotesi!C7)</f>
        <v/>
      </c>
      <c r="D7" s="9">
        <f>B7-C7</f>
        <v/>
      </c>
      <c r="E7" s="9">
        <f>Ipotesi!F7</f>
        <v/>
      </c>
      <c r="F7" s="9">
        <f>(B7+E7)*Ipotesi!H7+Ipotesi!I7</f>
        <v/>
      </c>
      <c r="G7" s="9">
        <f>D7-F7</f>
        <v/>
      </c>
      <c r="H7" s="9">
        <f>IF(Ipotesi!$B$13="lordo",B7+E7,G7)</f>
        <v/>
      </c>
      <c r="I7" s="10">
        <f>H7*Ipotesi!$B$12</f>
        <v/>
      </c>
      <c r="J7" s="9">
        <f>D7+E7-F7-I7</f>
        <v/>
      </c>
      <c r="K7" s="9">
        <f>Ipotesi!D7</f>
        <v/>
      </c>
      <c r="L7" s="9">
        <f>Ipotesi!E7</f>
        <v/>
      </c>
      <c r="M7" s="9">
        <f>Ipotesi!G7</f>
        <v/>
      </c>
      <c r="N7" s="9">
        <f>(B7+Ipotesi!G7)*Ipotesi!J7</f>
        <v/>
      </c>
      <c r="O7" s="10">
        <f>J7-K7-L7-M7-N7</f>
        <v/>
      </c>
      <c r="P7" s="11">
        <f>O7/B7</f>
        <v/>
      </c>
      <c r="Q7" s="11">
        <f>IF(J7=0,0,O7/J7)</f>
        <v/>
      </c>
    </row>
    <row r="8">
      <c r="A8" s="4">
        <f>Ipotesi!A8</f>
        <v/>
      </c>
      <c r="B8" s="9">
        <f>Ipotesi!B8</f>
        <v/>
      </c>
      <c r="C8" s="9">
        <f>B8-B8/(1+Ipotesi!C8)</f>
        <v/>
      </c>
      <c r="D8" s="9">
        <f>B8-C8</f>
        <v/>
      </c>
      <c r="E8" s="9">
        <f>Ipotesi!F8</f>
        <v/>
      </c>
      <c r="F8" s="9">
        <f>(B8+E8)*Ipotesi!H8+Ipotesi!I8</f>
        <v/>
      </c>
      <c r="G8" s="9">
        <f>D8-F8</f>
        <v/>
      </c>
      <c r="H8" s="9">
        <f>IF(Ipotesi!$B$13="lordo",B8+E8,G8)</f>
        <v/>
      </c>
      <c r="I8" s="10">
        <f>H8*Ipotesi!$B$12</f>
        <v/>
      </c>
      <c r="J8" s="9">
        <f>D8+E8-F8-I8</f>
        <v/>
      </c>
      <c r="K8" s="9">
        <f>Ipotesi!D8</f>
        <v/>
      </c>
      <c r="L8" s="9">
        <f>Ipotesi!E8</f>
        <v/>
      </c>
      <c r="M8" s="9">
        <f>Ipotesi!G8</f>
        <v/>
      </c>
      <c r="N8" s="9">
        <f>(B8+Ipotesi!G8)*Ipotesi!J8</f>
        <v/>
      </c>
      <c r="O8" s="10">
        <f>J8-K8-L8-M8-N8</f>
        <v/>
      </c>
      <c r="P8" s="11">
        <f>O8/B8</f>
        <v/>
      </c>
      <c r="Q8" s="11">
        <f>IF(J8=0,0,O8/J8)</f>
        <v/>
      </c>
    </row>
    <row r="10">
      <c r="A10" s="6" t="inlineStr">
        <is>
          <t>Medie pesate sul mix ordini</t>
        </is>
      </c>
      <c r="B10" s="12">
        <f>SUMPRODUCT(B2:B8,Ipotesi!K2:K8)</f>
        <v/>
      </c>
      <c r="G10" s="12">
        <f>SUMPRODUCT(G2:G8,Ipotesi!K2:K8)</f>
        <v/>
      </c>
      <c r="H10" s="12">
        <f>SUMPRODUCT((B2:B8+E2:E8),Ipotesi!K2:K8)</f>
        <v/>
      </c>
      <c r="I10" s="12">
        <f>SUMPRODUCT(I2:I8,Ipotesi!K2:K8)</f>
        <v/>
      </c>
      <c r="L10" s="13">
        <f>SUMPRODUCT(L2:L8,Ipotesi!K2:K8)</f>
        <v/>
      </c>
      <c r="M10" s="13">
        <f>SUMPRODUCT(M2:M8,Ipotesi!K2:K8)</f>
        <v/>
      </c>
      <c r="O10" s="12">
        <f>SUMPRODUCT(O2:O8,Ipotesi!K2:K8)</f>
        <v/>
      </c>
      <c r="P10" s="14">
        <f>O10/B10</f>
        <v/>
      </c>
    </row>
    <row r="11">
      <c r="A11" t="inlineStr">
        <is>
          <t>Letture: colonna O = quanto resta a Kalab per ordine dopo prodotto, imballo, spedizione e quota B2Brand. Se è vicino a zero o negativo, con quella quota Kalab lavora gratis.</t>
        </is>
      </c>
    </row>
    <row r="12">
      <c r="A12" t="inlineStr">
        <is>
          <t>Medie pesate: G = incassato netto medio per ordine; H = incasso lordo medio (merce + spedizione); L = imballo medio; M = spedizione vera media.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70" customWidth="1" min="6" max="6"/>
    <col width="20" customWidth="1" min="7" max="7"/>
  </cols>
  <sheetData>
    <row r="1">
      <c r="A1" s="15" t="inlineStr">
        <is>
          <t>Voce</t>
        </is>
      </c>
      <c r="B1" s="15" t="inlineStr">
        <is>
          <t>Una tantum (€)</t>
        </is>
      </c>
      <c r="C1" s="15" t="inlineStr">
        <is>
          <t>Mensile anno 1 (€)</t>
        </is>
      </c>
      <c r="D1" s="15" t="inlineStr">
        <is>
          <t>Mensile anno 2 (€)</t>
        </is>
      </c>
      <c r="E1" s="15" t="inlineStr">
        <is>
          <t>Mensile anno 3 (€)</t>
        </is>
      </c>
      <c r="F1" s="15" t="inlineStr">
        <is>
          <t>Fonte / nota</t>
        </is>
      </c>
      <c r="G1" s="15" t="inlineStr">
        <is>
          <t>Tipo (cassa = soldi che escono; ore = tempo di B2Brand a 35 €/h)</t>
        </is>
      </c>
    </row>
    <row r="2">
      <c r="A2" s="4" t="inlineStr">
        <is>
          <t>Costruzione negozio (Shopify/Woo, tema, app, feed Merchant): ore interne B2Brand</t>
        </is>
      </c>
      <c r="B2" s="5" t="n">
        <v>3000</v>
      </c>
      <c r="C2" s="5" t="n">
        <v>0</v>
      </c>
      <c r="D2" s="5" t="n">
        <v>0</v>
      </c>
      <c r="E2" s="5" t="n">
        <v>0</v>
      </c>
      <c r="F2" s="4" t="inlineStr">
        <is>
          <t>STIMA 85 ore × 35 €/h di costo interno. Valore di mercato 3.000-7.000 € (07 B2).</t>
        </is>
      </c>
      <c r="G2" s="4" t="inlineStr">
        <is>
          <t>ore</t>
        </is>
      </c>
    </row>
    <row r="3">
      <c r="A3" s="4" t="inlineStr">
        <is>
          <t>Foto: shooting 60-80 referenze + ambiente (campi, Casa Kalab)</t>
        </is>
      </c>
      <c r="B3" s="5" t="n">
        <v>1500</v>
      </c>
      <c r="C3" s="5" t="n">
        <v>0</v>
      </c>
      <c r="D3" s="5" t="n">
        <v>0</v>
      </c>
      <c r="E3" s="5" t="n">
        <v>0</v>
      </c>
      <c r="F3" s="4" t="inlineStr">
        <is>
          <t>STIMA 1.500-3.500 € freelance (07 B2).</t>
        </is>
      </c>
      <c r="G3" s="4" t="inlineStr">
        <is>
          <t>cassa</t>
        </is>
      </c>
    </row>
    <row r="4">
      <c r="A4" s="4" t="inlineStr">
        <is>
          <t>Testi: 60-100 schede prodotto + 50 schede varietà iniziali</t>
        </is>
      </c>
      <c r="B4" s="5" t="n">
        <v>1000</v>
      </c>
      <c r="C4" s="5" t="n">
        <v>0</v>
      </c>
      <c r="D4" s="5" t="n">
        <v>0</v>
      </c>
      <c r="E4" s="5" t="n">
        <v>0</v>
      </c>
      <c r="F4" s="4" t="inlineStr">
        <is>
          <t>STIMA 3 giornate di copy interno.</t>
        </is>
      </c>
      <c r="G4" s="4" t="inlineStr">
        <is>
          <t>ore</t>
        </is>
      </c>
    </row>
    <row r="5">
      <c r="A5" s="4" t="inlineStr">
        <is>
          <t>Traduzioni EN+DE (DeepL + revisione umana)</t>
        </is>
      </c>
      <c r="B5" s="5" t="n">
        <v>1500</v>
      </c>
      <c r="C5" s="5" t="n">
        <v>0</v>
      </c>
      <c r="D5" s="5" t="n">
        <v>0</v>
      </c>
      <c r="E5" s="5" t="n">
        <v>0</v>
      </c>
      <c r="F5" s="4" t="inlineStr">
        <is>
          <t>STIMA 1.500-3.000 € (07 B2); umane 7.000-11.500 € per 4 lingue.</t>
        </is>
      </c>
      <c r="G5" s="4" t="inlineStr">
        <is>
          <t>cassa</t>
        </is>
      </c>
    </row>
    <row r="6">
      <c r="A6" s="4" t="inlineStr">
        <is>
          <t>Piattaforma + app + dominio</t>
        </is>
      </c>
      <c r="B6" s="5" t="n">
        <v>0</v>
      </c>
      <c r="C6" s="5" t="n">
        <v>100</v>
      </c>
      <c r="D6" s="5" t="n">
        <v>120</v>
      </c>
      <c r="E6" s="5" t="n">
        <v>150</v>
      </c>
      <c r="F6" s="4" t="inlineStr">
        <is>
          <t>Shopify Basic 27 €/mese + app 50-150 € (07 B2, listino Shopify 02/10/2026).</t>
        </is>
      </c>
      <c r="G6" s="4" t="inlineStr">
        <is>
          <t>cassa</t>
        </is>
      </c>
    </row>
    <row r="7">
      <c r="A7" s="4" t="inlineStr">
        <is>
          <t>Gestione mensile: ordini, assistenza, contenuti, newsletter, campagne (ore interne)</t>
        </is>
      </c>
      <c r="B7" s="5" t="n">
        <v>0</v>
      </c>
      <c r="C7" s="5" t="n">
        <v>700</v>
      </c>
      <c r="D7" s="5" t="n">
        <v>900</v>
      </c>
      <c r="E7" s="5" t="n">
        <v>1100</v>
      </c>
      <c r="F7" s="4" t="inlineStr">
        <is>
          <t>STIMA 20-30 ore/mese × 35 €/h. E-commerce manager in Italia 32-38 k€/anno (Indeed, 07).</t>
        </is>
      </c>
      <c r="G7" s="4" t="inlineStr">
        <is>
          <t>ore</t>
        </is>
      </c>
    </row>
    <row r="8">
      <c r="A8" s="4" t="inlineStr">
        <is>
          <t>Manutenzione tecnica e monitoraggio</t>
        </is>
      </c>
      <c r="B8" s="5" t="n">
        <v>0</v>
      </c>
      <c r="C8" s="5" t="n">
        <v>50</v>
      </c>
      <c r="D8" s="5" t="n">
        <v>50</v>
      </c>
      <c r="E8" s="5" t="n">
        <v>50</v>
      </c>
      <c r="F8" s="4" t="inlineStr">
        <is>
          <t>Keidea: 50-150 €/mese base (07 B2).</t>
        </is>
      </c>
      <c r="G8" s="4" t="inlineStr">
        <is>
          <t>ore</t>
        </is>
      </c>
    </row>
    <row r="9">
      <c r="A9" s="4" t="inlineStr">
        <is>
          <t>Schede varietà nuove (SEO): 10-15 al mese</t>
        </is>
      </c>
      <c r="B9" s="5" t="n">
        <v>0</v>
      </c>
      <c r="C9" s="5" t="n">
        <v>200</v>
      </c>
      <c r="D9" s="5" t="n">
        <v>200</v>
      </c>
      <c r="E9" s="5" t="n">
        <v>150</v>
      </c>
      <c r="F9" s="4" t="inlineStr">
        <is>
          <t>STIMA 6 ore/mese. Senza, le 350 varietà restano una promessa.</t>
        </is>
      </c>
      <c r="G9" s="4" t="inlineStr">
        <is>
          <t>ore</t>
        </is>
      </c>
    </row>
    <row r="10">
      <c r="A10" s="6" t="inlineStr">
        <is>
          <t>TOTALE</t>
        </is>
      </c>
      <c r="B10" s="16">
        <f>SUM(B2:B9)</f>
        <v/>
      </c>
      <c r="C10" s="16">
        <f>SUM(C2:C9)</f>
        <v/>
      </c>
      <c r="D10" s="16">
        <f>SUM(D2:D9)</f>
        <v/>
      </c>
      <c r="E10" s="16">
        <f>SUM(E2:E9)</f>
        <v/>
      </c>
    </row>
    <row r="11">
      <c r="A11" s="6" t="inlineStr">
        <is>
          <t>di cui SOLO CASSA</t>
        </is>
      </c>
      <c r="B11" s="7">
        <f>SUMIF($G$2:$G$9,"cassa",B2:B9)</f>
        <v/>
      </c>
      <c r="C11" s="7">
        <f>SUMIF($G$2:$G$9,"cassa",C2:C9)</f>
        <v/>
      </c>
      <c r="D11" s="7">
        <f>SUMIF($G$2:$G$9,"cassa",D2:D9)</f>
        <v/>
      </c>
      <c r="E11" s="7">
        <f>SUMIF($G$2:$G$9,"cassa",E2:E9)</f>
        <v/>
      </c>
    </row>
    <row r="12">
      <c r="A12" t="inlineStr">
        <is>
          <t>Nel foglio Scenari le spese vive (cassa) e le ore sono in colonne separate: «netto di cassa» = soldi in tasca; «costo pieno» = anche le ore pagate a 35 €/h.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80" customWidth="1" min="3" max="3"/>
  </cols>
  <sheetData>
    <row r="1">
      <c r="A1" s="6" t="inlineStr">
        <is>
          <t>Mese</t>
        </is>
      </c>
      <c r="B1" s="6" t="inlineStr">
        <is>
          <t>Peso del mese (media = 1,00)</t>
        </is>
      </c>
      <c r="C1" s="6" t="inlineStr">
        <is>
          <t>Nota</t>
        </is>
      </c>
    </row>
    <row r="2">
      <c r="A2" t="inlineStr">
        <is>
          <t>gen</t>
        </is>
      </c>
      <c r="B2" s="8" t="n">
        <v>0.85</v>
      </c>
      <c r="C2" t="inlineStr">
        <is>
          <t>dopo Natale; semi iniziano</t>
        </is>
      </c>
    </row>
    <row r="3">
      <c r="A3" t="inlineStr">
        <is>
          <t>feb</t>
        </is>
      </c>
      <c r="B3" s="8" t="n">
        <v>0.95</v>
      </c>
      <c r="C3" t="inlineStr">
        <is>
          <t>semi (Trends IT picco feb-mar)</t>
        </is>
      </c>
    </row>
    <row r="4">
      <c r="A4" t="inlineStr">
        <is>
          <t>mar</t>
        </is>
      </c>
      <c r="B4" s="8" t="n">
        <v>1</v>
      </c>
      <c r="C4" t="inlineStr">
        <is>
          <t>semi + piantine</t>
        </is>
      </c>
    </row>
    <row r="5">
      <c r="A5" t="inlineStr">
        <is>
          <t>apr</t>
        </is>
      </c>
      <c r="B5" s="8" t="n">
        <v>0.95</v>
      </c>
      <c r="C5" t="inlineStr">
        <is>
          <t>piantine (Trends: apr-mag)</t>
        </is>
      </c>
    </row>
    <row r="6">
      <c r="A6" t="inlineStr">
        <is>
          <t>mag</t>
        </is>
      </c>
      <c r="B6" s="8" t="n">
        <v>0.85</v>
      </c>
      <c r="C6" t="inlineStr">
        <is>
          <t>piantine</t>
        </is>
      </c>
    </row>
    <row r="7">
      <c r="A7" t="inlineStr">
        <is>
          <t>giu</t>
        </is>
      </c>
      <c r="B7" s="8" t="n">
        <v>0.65</v>
      </c>
      <c r="C7" t="inlineStr">
        <is>
          <t>estate: minimo (Trends giu-lug)</t>
        </is>
      </c>
    </row>
    <row r="8">
      <c r="A8" t="inlineStr">
        <is>
          <t>lug</t>
        </is>
      </c>
      <c r="B8" s="8" t="n">
        <v>0.65</v>
      </c>
      <c r="C8" t="inlineStr">
        <is>
          <t>minimo</t>
        </is>
      </c>
    </row>
    <row r="9">
      <c r="A9" t="inlineStr">
        <is>
          <t>ago</t>
        </is>
      </c>
      <c r="B9" s="8" t="n">
        <v>0.75</v>
      </c>
      <c r="C9" t="inlineStr">
        <is>
          <t>raccolta: ricerche al massimo ma si compra in azienda/sagre</t>
        </is>
      </c>
    </row>
    <row r="10">
      <c r="A10" t="inlineStr">
        <is>
          <t>set</t>
        </is>
      </c>
      <c r="B10" s="8" t="n">
        <v>1</v>
      </c>
      <c r="C10" t="inlineStr">
        <is>
          <t>Festival Diamante 9-13/9; raccolta</t>
        </is>
      </c>
    </row>
    <row r="11">
      <c r="A11" t="inlineStr">
        <is>
          <t>ott</t>
        </is>
      </c>
      <c r="B11" s="8" t="n">
        <v>1</v>
      </c>
      <c r="C11" t="inlineStr">
        <is>
          <t>secco nuovo; inizio regali</t>
        </is>
      </c>
    </row>
    <row r="12">
      <c r="A12" t="inlineStr">
        <is>
          <t>nov</t>
        </is>
      </c>
      <c r="B12" s="8" t="n">
        <v>1.35</v>
      </c>
      <c r="C12" t="inlineStr">
        <is>
          <t>Black Friday; picco 'sauce piquante' FR</t>
        </is>
      </c>
    </row>
    <row r="13">
      <c r="A13" t="inlineStr">
        <is>
          <t>dic</t>
        </is>
      </c>
      <c r="B13" s="8" t="n">
        <v>2</v>
      </c>
      <c r="C13" t="inlineStr">
        <is>
          <t>Natale: picco acquisti online 5 e 16-17 dic (idealo)</t>
        </is>
      </c>
    </row>
    <row r="14">
      <c r="A14" s="6" t="inlineStr">
        <is>
          <t>Somma (deve fare 12)</t>
        </is>
      </c>
      <c r="B14" s="7">
        <f>SUM(B2:B13)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65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8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</cols>
  <sheetData>
    <row r="1">
      <c r="A1" s="17" t="inlineStr">
        <is>
          <t>Ipotesi per scenario (celle azzurre)</t>
        </is>
      </c>
    </row>
    <row r="2">
      <c r="A2" s="15" t="inlineStr">
        <is>
          <t>Parametro</t>
        </is>
      </c>
      <c r="B2" s="15" t="inlineStr">
        <is>
          <t>Prudente</t>
        </is>
      </c>
      <c r="C2" s="15" t="inlineStr">
        <is>
          <t>Medio</t>
        </is>
      </c>
      <c r="D2" s="15" t="inlineStr">
        <is>
          <t>Ambizioso</t>
        </is>
      </c>
      <c r="E2" s="15" t="inlineStr">
        <is>
          <t>Nota</t>
        </is>
      </c>
    </row>
    <row r="3">
      <c r="A3" s="4" t="inlineStr">
        <is>
          <t>Ordini al mese, media anno 1</t>
        </is>
      </c>
      <c r="B3" s="5" t="n">
        <v>20</v>
      </c>
      <c r="C3" s="5" t="n">
        <v>50</v>
      </c>
      <c r="D3" s="5" t="n">
        <v>100</v>
      </c>
      <c r="E3" t="inlineStr">
        <is>
          <t>STIMA. Oggi kalab.it ha 13 prodotti e ~10 pagine indicizzate: si parte da zero. 500 €/mese di pubblicità danno 10-17 ordini (05 §5.2); il resto da SEO, newsletter, eventi.</t>
        </is>
      </c>
    </row>
    <row r="4">
      <c r="A4" s="4" t="inlineStr">
        <is>
          <t>Ordini al mese, media anno 2</t>
        </is>
      </c>
      <c r="B4" s="5" t="n">
        <v>40</v>
      </c>
      <c r="C4" s="5" t="n">
        <v>120</v>
      </c>
      <c r="D4" s="5" t="n">
        <v>250</v>
      </c>
      <c r="E4" t="inlineStr">
        <is>
          <t>STIMA. Anno 2: schede varietà indicizzate, recensioni, secondo Natale, Germania aperta.</t>
        </is>
      </c>
    </row>
    <row r="5">
      <c r="A5" s="4" t="inlineStr">
        <is>
          <t>Ordini al mese, media anno 3</t>
        </is>
      </c>
      <c r="B5" s="5" t="n">
        <v>60</v>
      </c>
      <c r="C5" s="5" t="n">
        <v>200</v>
      </c>
      <c r="D5" s="5" t="n">
        <v>450</v>
      </c>
      <c r="E5" t="inlineStr">
        <is>
          <t>STIMA. Anno 3: catalogo completo, 3-4 lingue, B2B (Ankorstore/Faire) fuori da questo conto.</t>
        </is>
      </c>
    </row>
    <row r="6">
      <c r="A6" s="4" t="inlineStr">
        <is>
          <t>Mesi di rampa prima del regime (anno 1)</t>
        </is>
      </c>
      <c r="B6" s="5" t="n">
        <v>6</v>
      </c>
      <c r="C6" s="5" t="n">
        <v>6</v>
      </c>
      <c r="D6" s="5" t="n">
        <v>6</v>
      </c>
      <c r="E6" t="inlineStr">
        <is>
          <t>Mesi per arrivare a regime nel primo anno (crescita lineare).</t>
        </is>
      </c>
    </row>
    <row r="7">
      <c r="A7" s="4" t="inlineStr">
        <is>
          <t>Budget pubblicità mensile anno 1 (€, pagato da B2Brand)</t>
        </is>
      </c>
      <c r="B7" s="5" t="n">
        <v>300</v>
      </c>
      <c r="C7" s="5" t="n">
        <v>400</v>
      </c>
      <c r="D7" s="5" t="n">
        <v>500</v>
      </c>
      <c r="E7" t="inlineStr">
        <is>
          <t>Pagata da B2Brand. Sotto 300 €/mese Google Shopping non impara (05 §5).</t>
        </is>
      </c>
    </row>
    <row r="8">
      <c r="A8" s="4" t="inlineStr">
        <is>
          <t>Budget pubblicità mensile anno 2 (€)</t>
        </is>
      </c>
      <c r="B8" s="5" t="n">
        <v>300</v>
      </c>
      <c r="C8" s="5" t="n">
        <v>600</v>
      </c>
      <c r="D8" s="5" t="n">
        <v>1000</v>
      </c>
      <c r="E8" t="inlineStr"/>
    </row>
    <row r="9">
      <c r="A9" s="4" t="inlineStr">
        <is>
          <t>Budget pubblicità mensile anno 3 (€)</t>
        </is>
      </c>
      <c r="B9" s="5" t="n">
        <v>300</v>
      </c>
      <c r="C9" s="5" t="n">
        <v>800</v>
      </c>
      <c r="D9" s="5" t="n">
        <v>1500</v>
      </c>
      <c r="E9" t="inlineStr"/>
    </row>
    <row r="10">
      <c r="A10" s="6" t="inlineStr">
        <is>
          <t>Ordini al mese necessari per l'obiettivo, anno 1</t>
        </is>
      </c>
      <c r="B10" s="18">
        <f>ROUND((Ipotesi!$B$14+'Costi B2Brand'!$C$11+B$7)/'Conti per prodotto'!$I$10,0)</f>
        <v/>
      </c>
      <c r="C10" s="18">
        <f>ROUND((Ipotesi!$B$14+'Costi B2Brand'!$C$11+C$7)/'Conti per prodotto'!$I$10,0)</f>
        <v/>
      </c>
      <c r="D10" s="18">
        <f>ROUND((Ipotesi!$B$14+'Costi B2Brand'!$C$11+D$7)/'Conti per prodotto'!$I$10,0)</f>
        <v/>
      </c>
      <c r="E10">
        <f> (obiettivo + spese vive del mese + pubblicità dello scenario) ÷ quota di B2Brand per ordine. Le ore di B2Brand non sono contate.</f>
        <v/>
      </c>
    </row>
    <row r="11">
      <c r="A11" s="6" t="inlineStr">
        <is>
          <t>Ordini al mese necessari per l'obiettivo, anno 2</t>
        </is>
      </c>
      <c r="B11" s="18">
        <f>ROUND((Ipotesi!$B$14+'Costi B2Brand'!$D$11+B$8)/'Conti per prodotto'!$I$10,0)</f>
        <v/>
      </c>
      <c r="C11" s="18">
        <f>ROUND((Ipotesi!$B$14+'Costi B2Brand'!$D$11+C$8)/'Conti per prodotto'!$I$10,0)</f>
        <v/>
      </c>
      <c r="D11" s="18">
        <f>ROUND((Ipotesi!$B$14+'Costi B2Brand'!$D$11+D$8)/'Conti per prodotto'!$I$10,0)</f>
        <v/>
      </c>
    </row>
    <row r="12">
      <c r="A12" s="6" t="inlineStr">
        <is>
          <t>Ordini al mese necessari per l'obiettivo, anno 3</t>
        </is>
      </c>
      <c r="B12" s="18">
        <f>ROUND((Ipotesi!$B$14+'Costi B2Brand'!$E$11+B$9)/'Conti per prodotto'!$I$10,0)</f>
        <v/>
      </c>
      <c r="C12" s="18">
        <f>ROUND((Ipotesi!$B$14+'Costi B2Brand'!$E$11+C$9)/'Conti per prodotto'!$I$10,0)</f>
        <v/>
      </c>
      <c r="D12" s="18">
        <f>ROUND((Ipotesi!$B$14+'Costi B2Brand'!$E$11+D$9)/'Conti per prodotto'!$I$10,0)</f>
        <v/>
      </c>
    </row>
    <row r="15">
      <c r="A15" s="17" t="inlineStr">
        <is>
          <t>Proiezione mese per mese (formule). Netto di cassa = soldi in tasca a B2Brand; costo pieno = anche le ore a 35 €/h.</t>
        </is>
      </c>
    </row>
    <row r="16">
      <c r="A16" s="17" t="inlineStr">
        <is>
          <t>Prudente</t>
        </is>
      </c>
      <c r="R16" s="17" t="inlineStr">
        <is>
          <t>Medio</t>
        </is>
      </c>
      <c r="AI16" s="17" t="inlineStr">
        <is>
          <t>Ambizioso</t>
        </is>
      </c>
    </row>
    <row r="17" ht="42" customHeight="1">
      <c r="A17" s="3" t="inlineStr">
        <is>
          <t>Mese</t>
        </is>
      </c>
      <c r="B17" s="3" t="inlineStr">
        <is>
          <t>Anno</t>
        </is>
      </c>
      <c r="C17" s="3" t="inlineStr">
        <is>
          <t>Ordini</t>
        </is>
      </c>
      <c r="D17" s="3" t="inlineStr">
        <is>
          <t>Incasso online (€)</t>
        </is>
      </c>
      <c r="E17" s="3" t="inlineStr">
        <is>
          <t>Quota B2Brand (€)</t>
        </is>
      </c>
      <c r="F17" s="3" t="inlineStr">
        <is>
          <t>Margine Kalab (€)</t>
        </is>
      </c>
      <c r="G17" s="3" t="inlineStr">
        <is>
          <t>Spese vive B2Brand (€)</t>
        </is>
      </c>
      <c r="H17" s="3" t="inlineStr">
        <is>
          <t>Pubblicità (€)</t>
        </is>
      </c>
      <c r="I17" s="3" t="inlineStr">
        <is>
          <t>Netto di cassa B2Brand (€)</t>
        </is>
      </c>
      <c r="J17" s="3" t="inlineStr">
        <is>
          <t>Cumulato di cassa (€)</t>
        </is>
      </c>
      <c r="K17" s="3" t="inlineStr">
        <is>
          <t>Ore interne (valore €)</t>
        </is>
      </c>
      <c r="L17" s="3" t="inlineStr">
        <is>
          <t>Netto a costo pieno (€)</t>
        </is>
      </c>
      <c r="M17" s="3" t="inlineStr">
        <is>
          <t>Cumulato a costo pieno (€)</t>
        </is>
      </c>
      <c r="N17" s="3" t="inlineStr">
        <is>
          <t>(appoggio) mese sopra obiettivo</t>
        </is>
      </c>
      <c r="O17" s="3" t="inlineStr">
        <is>
          <t>(appoggio) mese cassa in attivo</t>
        </is>
      </c>
      <c r="P17" s="3" t="inlineStr">
        <is>
          <t>(appoggio) mese costo pieno in attivo</t>
        </is>
      </c>
      <c r="R17" s="3" t="inlineStr">
        <is>
          <t>Mese</t>
        </is>
      </c>
      <c r="S17" s="3" t="inlineStr">
        <is>
          <t>Anno</t>
        </is>
      </c>
      <c r="T17" s="3" t="inlineStr">
        <is>
          <t>Ordini</t>
        </is>
      </c>
      <c r="U17" s="3" t="inlineStr">
        <is>
          <t>Incasso online (€)</t>
        </is>
      </c>
      <c r="V17" s="3" t="inlineStr">
        <is>
          <t>Quota B2Brand (€)</t>
        </is>
      </c>
      <c r="W17" s="3" t="inlineStr">
        <is>
          <t>Margine Kalab (€)</t>
        </is>
      </c>
      <c r="X17" s="3" t="inlineStr">
        <is>
          <t>Spese vive B2Brand (€)</t>
        </is>
      </c>
      <c r="Y17" s="3" t="inlineStr">
        <is>
          <t>Pubblicità (€)</t>
        </is>
      </c>
      <c r="Z17" s="3" t="inlineStr">
        <is>
          <t>Netto di cassa B2Brand (€)</t>
        </is>
      </c>
      <c r="AA17" s="3" t="inlineStr">
        <is>
          <t>Cumulato di cassa (€)</t>
        </is>
      </c>
      <c r="AB17" s="3" t="inlineStr">
        <is>
          <t>Ore interne (valore €)</t>
        </is>
      </c>
      <c r="AC17" s="3" t="inlineStr">
        <is>
          <t>Netto a costo pieno (€)</t>
        </is>
      </c>
      <c r="AD17" s="3" t="inlineStr">
        <is>
          <t>Cumulato a costo pieno (€)</t>
        </is>
      </c>
      <c r="AE17" s="3" t="inlineStr">
        <is>
          <t>(appoggio) mese sopra obiettivo</t>
        </is>
      </c>
      <c r="AF17" s="3" t="inlineStr">
        <is>
          <t>(appoggio) mese cassa in attivo</t>
        </is>
      </c>
      <c r="AG17" s="3" t="inlineStr">
        <is>
          <t>(appoggio) mese costo pieno in attivo</t>
        </is>
      </c>
      <c r="AI17" s="3" t="inlineStr">
        <is>
          <t>Mese</t>
        </is>
      </c>
      <c r="AJ17" s="3" t="inlineStr">
        <is>
          <t>Anno</t>
        </is>
      </c>
      <c r="AK17" s="3" t="inlineStr">
        <is>
          <t>Ordini</t>
        </is>
      </c>
      <c r="AL17" s="3" t="inlineStr">
        <is>
          <t>Incasso online (€)</t>
        </is>
      </c>
      <c r="AM17" s="3" t="inlineStr">
        <is>
          <t>Quota B2Brand (€)</t>
        </is>
      </c>
      <c r="AN17" s="3" t="inlineStr">
        <is>
          <t>Margine Kalab (€)</t>
        </is>
      </c>
      <c r="AO17" s="3" t="inlineStr">
        <is>
          <t>Spese vive B2Brand (€)</t>
        </is>
      </c>
      <c r="AP17" s="3" t="inlineStr">
        <is>
          <t>Pubblicità (€)</t>
        </is>
      </c>
      <c r="AQ17" s="3" t="inlineStr">
        <is>
          <t>Netto di cassa B2Brand (€)</t>
        </is>
      </c>
      <c r="AR17" s="3" t="inlineStr">
        <is>
          <t>Cumulato di cassa (€)</t>
        </is>
      </c>
      <c r="AS17" s="3" t="inlineStr">
        <is>
          <t>Ore interne (valore €)</t>
        </is>
      </c>
      <c r="AT17" s="3" t="inlineStr">
        <is>
          <t>Netto a costo pieno (€)</t>
        </is>
      </c>
      <c r="AU17" s="3" t="inlineStr">
        <is>
          <t>Cumulato a costo pieno (€)</t>
        </is>
      </c>
      <c r="AV17" s="3" t="inlineStr">
        <is>
          <t>(appoggio) mese sopra obiettivo</t>
        </is>
      </c>
      <c r="AW17" s="3" t="inlineStr">
        <is>
          <t>(appoggio) mese cassa in attivo</t>
        </is>
      </c>
      <c r="AX17" s="3" t="inlineStr">
        <is>
          <t>(appoggio) mese costo pieno in attivo</t>
        </is>
      </c>
    </row>
    <row r="18">
      <c r="A18" s="4" t="n">
        <v>1</v>
      </c>
      <c r="B18" s="4" t="n">
        <v>1</v>
      </c>
      <c r="C18" s="4">
        <f>ROUND(B$3*MIN(1,1/B$6)*Stagionalità!$B$4,0)</f>
        <v/>
      </c>
      <c r="D18" s="19">
        <f>C18*'Conti per prodotto'!$B$10</f>
        <v/>
      </c>
      <c r="E18" s="19">
        <f>C18*'Conti per prodotto'!$I$10</f>
        <v/>
      </c>
      <c r="F18" s="19">
        <f>C18*'Conti per prodotto'!$O$10</f>
        <v/>
      </c>
      <c r="G18" s="19">
        <f>'Costi B2Brand'!$C$11+'Costi B2Brand'!$B$11</f>
        <v/>
      </c>
      <c r="H18" s="19">
        <f>B$7</f>
        <v/>
      </c>
      <c r="I18" s="20">
        <f>E18-G18-H18</f>
        <v/>
      </c>
      <c r="J18" s="19">
        <f>I18</f>
        <v/>
      </c>
      <c r="K18" s="19">
        <f>('Costi B2Brand'!$C$10-'Costi B2Brand'!$C$11)+('Costi B2Brand'!$B$10-'Costi B2Brand'!$B$11)</f>
        <v/>
      </c>
      <c r="L18" s="19">
        <f>I18-K18</f>
        <v/>
      </c>
      <c r="M18" s="19">
        <f>L18</f>
        <v/>
      </c>
      <c r="N18" s="21">
        <f>IF(I18&gt;=Ipotesi!$B$14,A18,"")</f>
        <v/>
      </c>
      <c r="O18" s="21">
        <f>IF(AND(A18&gt;1,J18&gt;=0),A18,"")</f>
        <v/>
      </c>
      <c r="P18" s="21">
        <f>IF(AND(A18&gt;1,M18&gt;=0),A18,"")</f>
        <v/>
      </c>
      <c r="R18" s="4" t="n">
        <v>1</v>
      </c>
      <c r="S18" s="4" t="n">
        <v>1</v>
      </c>
      <c r="T18" s="4">
        <f>ROUND(C$3*MIN(1,1/C$6)*Stagionalità!$B$4,0)</f>
        <v/>
      </c>
      <c r="U18" s="19">
        <f>T18*'Conti per prodotto'!$B$10</f>
        <v/>
      </c>
      <c r="V18" s="19">
        <f>T18*'Conti per prodotto'!$I$10</f>
        <v/>
      </c>
      <c r="W18" s="19">
        <f>T18*'Conti per prodotto'!$O$10</f>
        <v/>
      </c>
      <c r="X18" s="19">
        <f>'Costi B2Brand'!$C$11+'Costi B2Brand'!$B$11</f>
        <v/>
      </c>
      <c r="Y18" s="19">
        <f>C$7</f>
        <v/>
      </c>
      <c r="Z18" s="20">
        <f>V18-X18-Y18</f>
        <v/>
      </c>
      <c r="AA18" s="19">
        <f>Z18</f>
        <v/>
      </c>
      <c r="AB18" s="19">
        <f>('Costi B2Brand'!$C$10-'Costi B2Brand'!$C$11)+('Costi B2Brand'!$B$10-'Costi B2Brand'!$B$11)</f>
        <v/>
      </c>
      <c r="AC18" s="19">
        <f>Z18-AB18</f>
        <v/>
      </c>
      <c r="AD18" s="19">
        <f>AC18</f>
        <v/>
      </c>
      <c r="AE18" s="21">
        <f>IF(Z18&gt;=Ipotesi!$B$14,R18,"")</f>
        <v/>
      </c>
      <c r="AF18" s="21">
        <f>IF(AND(R18&gt;1,AA18&gt;=0),R18,"")</f>
        <v/>
      </c>
      <c r="AG18" s="21">
        <f>IF(AND(R18&gt;1,AD18&gt;=0),R18,"")</f>
        <v/>
      </c>
      <c r="AI18" s="4" t="n">
        <v>1</v>
      </c>
      <c r="AJ18" s="4" t="n">
        <v>1</v>
      </c>
      <c r="AK18" s="4">
        <f>ROUND(D$3*MIN(1,1/D$6)*Stagionalità!$B$4,0)</f>
        <v/>
      </c>
      <c r="AL18" s="19">
        <f>AK18*'Conti per prodotto'!$B$10</f>
        <v/>
      </c>
      <c r="AM18" s="19">
        <f>AK18*'Conti per prodotto'!$I$10</f>
        <v/>
      </c>
      <c r="AN18" s="19">
        <f>AK18*'Conti per prodotto'!$O$10</f>
        <v/>
      </c>
      <c r="AO18" s="19">
        <f>'Costi B2Brand'!$C$11+'Costi B2Brand'!$B$11</f>
        <v/>
      </c>
      <c r="AP18" s="19">
        <f>D$7</f>
        <v/>
      </c>
      <c r="AQ18" s="20">
        <f>AM18-AO18-AP18</f>
        <v/>
      </c>
      <c r="AR18" s="19">
        <f>AQ18</f>
        <v/>
      </c>
      <c r="AS18" s="19">
        <f>('Costi B2Brand'!$C$10-'Costi B2Brand'!$C$11)+('Costi B2Brand'!$B$10-'Costi B2Brand'!$B$11)</f>
        <v/>
      </c>
      <c r="AT18" s="19">
        <f>AQ18-AS18</f>
        <v/>
      </c>
      <c r="AU18" s="19">
        <f>AT18</f>
        <v/>
      </c>
      <c r="AV18" s="21">
        <f>IF(AQ18&gt;=Ipotesi!$B$14,AI18,"")</f>
        <v/>
      </c>
      <c r="AW18" s="21">
        <f>IF(AND(AI18&gt;1,AR18&gt;=0),AI18,"")</f>
        <v/>
      </c>
      <c r="AX18" s="21">
        <f>IF(AND(AI18&gt;1,AU18&gt;=0),AI18,"")</f>
        <v/>
      </c>
    </row>
    <row r="19">
      <c r="A19" s="4" t="n">
        <v>2</v>
      </c>
      <c r="B19" s="4" t="n">
        <v>1</v>
      </c>
      <c r="C19" s="4">
        <f>ROUND(B$3*MIN(1,2/B$6)*Stagionalità!$B$5,0)</f>
        <v/>
      </c>
      <c r="D19" s="19">
        <f>C19*'Conti per prodotto'!$B$10</f>
        <v/>
      </c>
      <c r="E19" s="19">
        <f>C19*'Conti per prodotto'!$I$10</f>
        <v/>
      </c>
      <c r="F19" s="19">
        <f>C19*'Conti per prodotto'!$O$10</f>
        <v/>
      </c>
      <c r="G19" s="19">
        <f>'Costi B2Brand'!$C$11</f>
        <v/>
      </c>
      <c r="H19" s="19">
        <f>B$7</f>
        <v/>
      </c>
      <c r="I19" s="20">
        <f>E19-G19-H19</f>
        <v/>
      </c>
      <c r="J19" s="19">
        <f>J18+I19</f>
        <v/>
      </c>
      <c r="K19" s="19">
        <f>('Costi B2Brand'!$C$10-'Costi B2Brand'!$C$11)</f>
        <v/>
      </c>
      <c r="L19" s="19">
        <f>I19-K19</f>
        <v/>
      </c>
      <c r="M19" s="19">
        <f>M18+L19</f>
        <v/>
      </c>
      <c r="N19" s="21">
        <f>IF(I19&gt;=Ipotesi!$B$14,A19,"")</f>
        <v/>
      </c>
      <c r="O19" s="21">
        <f>IF(AND(A19&gt;1,J19&gt;=0),A19,"")</f>
        <v/>
      </c>
      <c r="P19" s="21">
        <f>IF(AND(A19&gt;1,M19&gt;=0),A19,"")</f>
        <v/>
      </c>
      <c r="R19" s="4" t="n">
        <v>2</v>
      </c>
      <c r="S19" s="4" t="n">
        <v>1</v>
      </c>
      <c r="T19" s="4">
        <f>ROUND(C$3*MIN(1,2/C$6)*Stagionalità!$B$5,0)</f>
        <v/>
      </c>
      <c r="U19" s="19">
        <f>T19*'Conti per prodotto'!$B$10</f>
        <v/>
      </c>
      <c r="V19" s="19">
        <f>T19*'Conti per prodotto'!$I$10</f>
        <v/>
      </c>
      <c r="W19" s="19">
        <f>T19*'Conti per prodotto'!$O$10</f>
        <v/>
      </c>
      <c r="X19" s="19">
        <f>'Costi B2Brand'!$C$11</f>
        <v/>
      </c>
      <c r="Y19" s="19">
        <f>C$7</f>
        <v/>
      </c>
      <c r="Z19" s="20">
        <f>V19-X19-Y19</f>
        <v/>
      </c>
      <c r="AA19" s="19">
        <f>AA18+Z19</f>
        <v/>
      </c>
      <c r="AB19" s="19">
        <f>('Costi B2Brand'!$C$10-'Costi B2Brand'!$C$11)</f>
        <v/>
      </c>
      <c r="AC19" s="19">
        <f>Z19-AB19</f>
        <v/>
      </c>
      <c r="AD19" s="19">
        <f>AD18+AC19</f>
        <v/>
      </c>
      <c r="AE19" s="21">
        <f>IF(Z19&gt;=Ipotesi!$B$14,R19,"")</f>
        <v/>
      </c>
      <c r="AF19" s="21">
        <f>IF(AND(R19&gt;1,AA19&gt;=0),R19,"")</f>
        <v/>
      </c>
      <c r="AG19" s="21">
        <f>IF(AND(R19&gt;1,AD19&gt;=0),R19,"")</f>
        <v/>
      </c>
      <c r="AI19" s="4" t="n">
        <v>2</v>
      </c>
      <c r="AJ19" s="4" t="n">
        <v>1</v>
      </c>
      <c r="AK19" s="4">
        <f>ROUND(D$3*MIN(1,2/D$6)*Stagionalità!$B$5,0)</f>
        <v/>
      </c>
      <c r="AL19" s="19">
        <f>AK19*'Conti per prodotto'!$B$10</f>
        <v/>
      </c>
      <c r="AM19" s="19">
        <f>AK19*'Conti per prodotto'!$I$10</f>
        <v/>
      </c>
      <c r="AN19" s="19">
        <f>AK19*'Conti per prodotto'!$O$10</f>
        <v/>
      </c>
      <c r="AO19" s="19">
        <f>'Costi B2Brand'!$C$11</f>
        <v/>
      </c>
      <c r="AP19" s="19">
        <f>D$7</f>
        <v/>
      </c>
      <c r="AQ19" s="20">
        <f>AM19-AO19-AP19</f>
        <v/>
      </c>
      <c r="AR19" s="19">
        <f>AR18+AQ19</f>
        <v/>
      </c>
      <c r="AS19" s="19">
        <f>('Costi B2Brand'!$C$10-'Costi B2Brand'!$C$11)</f>
        <v/>
      </c>
      <c r="AT19" s="19">
        <f>AQ19-AS19</f>
        <v/>
      </c>
      <c r="AU19" s="19">
        <f>AU18+AT19</f>
        <v/>
      </c>
      <c r="AV19" s="21">
        <f>IF(AQ19&gt;=Ipotesi!$B$14,AI19,"")</f>
        <v/>
      </c>
      <c r="AW19" s="21">
        <f>IF(AND(AI19&gt;1,AR19&gt;=0),AI19,"")</f>
        <v/>
      </c>
      <c r="AX19" s="21">
        <f>IF(AND(AI19&gt;1,AU19&gt;=0),AI19,"")</f>
        <v/>
      </c>
    </row>
    <row r="20">
      <c r="A20" s="4" t="n">
        <v>3</v>
      </c>
      <c r="B20" s="4" t="n">
        <v>1</v>
      </c>
      <c r="C20" s="4">
        <f>ROUND(B$3*MIN(1,3/B$6)*Stagionalità!$B$6,0)</f>
        <v/>
      </c>
      <c r="D20" s="19">
        <f>C20*'Conti per prodotto'!$B$10</f>
        <v/>
      </c>
      <c r="E20" s="19">
        <f>C20*'Conti per prodotto'!$I$10</f>
        <v/>
      </c>
      <c r="F20" s="19">
        <f>C20*'Conti per prodotto'!$O$10</f>
        <v/>
      </c>
      <c r="G20" s="19">
        <f>'Costi B2Brand'!$C$11</f>
        <v/>
      </c>
      <c r="H20" s="19">
        <f>B$7</f>
        <v/>
      </c>
      <c r="I20" s="20">
        <f>E20-G20-H20</f>
        <v/>
      </c>
      <c r="J20" s="19">
        <f>J19+I20</f>
        <v/>
      </c>
      <c r="K20" s="19">
        <f>('Costi B2Brand'!$C$10-'Costi B2Brand'!$C$11)</f>
        <v/>
      </c>
      <c r="L20" s="19">
        <f>I20-K20</f>
        <v/>
      </c>
      <c r="M20" s="19">
        <f>M19+L20</f>
        <v/>
      </c>
      <c r="N20" s="21">
        <f>IF(I20&gt;=Ipotesi!$B$14,A20,"")</f>
        <v/>
      </c>
      <c r="O20" s="21">
        <f>IF(AND(A20&gt;1,J20&gt;=0),A20,"")</f>
        <v/>
      </c>
      <c r="P20" s="21">
        <f>IF(AND(A20&gt;1,M20&gt;=0),A20,"")</f>
        <v/>
      </c>
      <c r="R20" s="4" t="n">
        <v>3</v>
      </c>
      <c r="S20" s="4" t="n">
        <v>1</v>
      </c>
      <c r="T20" s="4">
        <f>ROUND(C$3*MIN(1,3/C$6)*Stagionalità!$B$6,0)</f>
        <v/>
      </c>
      <c r="U20" s="19">
        <f>T20*'Conti per prodotto'!$B$10</f>
        <v/>
      </c>
      <c r="V20" s="19">
        <f>T20*'Conti per prodotto'!$I$10</f>
        <v/>
      </c>
      <c r="W20" s="19">
        <f>T20*'Conti per prodotto'!$O$10</f>
        <v/>
      </c>
      <c r="X20" s="19">
        <f>'Costi B2Brand'!$C$11</f>
        <v/>
      </c>
      <c r="Y20" s="19">
        <f>C$7</f>
        <v/>
      </c>
      <c r="Z20" s="20">
        <f>V20-X20-Y20</f>
        <v/>
      </c>
      <c r="AA20" s="19">
        <f>AA19+Z20</f>
        <v/>
      </c>
      <c r="AB20" s="19">
        <f>('Costi B2Brand'!$C$10-'Costi B2Brand'!$C$11)</f>
        <v/>
      </c>
      <c r="AC20" s="19">
        <f>Z20-AB20</f>
        <v/>
      </c>
      <c r="AD20" s="19">
        <f>AD19+AC20</f>
        <v/>
      </c>
      <c r="AE20" s="21">
        <f>IF(Z20&gt;=Ipotesi!$B$14,R20,"")</f>
        <v/>
      </c>
      <c r="AF20" s="21">
        <f>IF(AND(R20&gt;1,AA20&gt;=0),R20,"")</f>
        <v/>
      </c>
      <c r="AG20" s="21">
        <f>IF(AND(R20&gt;1,AD20&gt;=0),R20,"")</f>
        <v/>
      </c>
      <c r="AI20" s="4" t="n">
        <v>3</v>
      </c>
      <c r="AJ20" s="4" t="n">
        <v>1</v>
      </c>
      <c r="AK20" s="4">
        <f>ROUND(D$3*MIN(1,3/D$6)*Stagionalità!$B$6,0)</f>
        <v/>
      </c>
      <c r="AL20" s="19">
        <f>AK20*'Conti per prodotto'!$B$10</f>
        <v/>
      </c>
      <c r="AM20" s="19">
        <f>AK20*'Conti per prodotto'!$I$10</f>
        <v/>
      </c>
      <c r="AN20" s="19">
        <f>AK20*'Conti per prodotto'!$O$10</f>
        <v/>
      </c>
      <c r="AO20" s="19">
        <f>'Costi B2Brand'!$C$11</f>
        <v/>
      </c>
      <c r="AP20" s="19">
        <f>D$7</f>
        <v/>
      </c>
      <c r="AQ20" s="20">
        <f>AM20-AO20-AP20</f>
        <v/>
      </c>
      <c r="AR20" s="19">
        <f>AR19+AQ20</f>
        <v/>
      </c>
      <c r="AS20" s="19">
        <f>('Costi B2Brand'!$C$10-'Costi B2Brand'!$C$11)</f>
        <v/>
      </c>
      <c r="AT20" s="19">
        <f>AQ20-AS20</f>
        <v/>
      </c>
      <c r="AU20" s="19">
        <f>AU19+AT20</f>
        <v/>
      </c>
      <c r="AV20" s="21">
        <f>IF(AQ20&gt;=Ipotesi!$B$14,AI20,"")</f>
        <v/>
      </c>
      <c r="AW20" s="21">
        <f>IF(AND(AI20&gt;1,AR20&gt;=0),AI20,"")</f>
        <v/>
      </c>
      <c r="AX20" s="21">
        <f>IF(AND(AI20&gt;1,AU20&gt;=0),AI20,"")</f>
        <v/>
      </c>
    </row>
    <row r="21">
      <c r="A21" s="4" t="n">
        <v>4</v>
      </c>
      <c r="B21" s="4" t="n">
        <v>1</v>
      </c>
      <c r="C21" s="4">
        <f>ROUND(B$3*MIN(1,4/B$6)*Stagionalità!$B$7,0)</f>
        <v/>
      </c>
      <c r="D21" s="19">
        <f>C21*'Conti per prodotto'!$B$10</f>
        <v/>
      </c>
      <c r="E21" s="19">
        <f>C21*'Conti per prodotto'!$I$10</f>
        <v/>
      </c>
      <c r="F21" s="19">
        <f>C21*'Conti per prodotto'!$O$10</f>
        <v/>
      </c>
      <c r="G21" s="19">
        <f>'Costi B2Brand'!$C$11</f>
        <v/>
      </c>
      <c r="H21" s="19">
        <f>B$7</f>
        <v/>
      </c>
      <c r="I21" s="20">
        <f>E21-G21-H21</f>
        <v/>
      </c>
      <c r="J21" s="19">
        <f>J20+I21</f>
        <v/>
      </c>
      <c r="K21" s="19">
        <f>('Costi B2Brand'!$C$10-'Costi B2Brand'!$C$11)</f>
        <v/>
      </c>
      <c r="L21" s="19">
        <f>I21-K21</f>
        <v/>
      </c>
      <c r="M21" s="19">
        <f>M20+L21</f>
        <v/>
      </c>
      <c r="N21" s="21">
        <f>IF(I21&gt;=Ipotesi!$B$14,A21,"")</f>
        <v/>
      </c>
      <c r="O21" s="21">
        <f>IF(AND(A21&gt;1,J21&gt;=0),A21,"")</f>
        <v/>
      </c>
      <c r="P21" s="21">
        <f>IF(AND(A21&gt;1,M21&gt;=0),A21,"")</f>
        <v/>
      </c>
      <c r="R21" s="4" t="n">
        <v>4</v>
      </c>
      <c r="S21" s="4" t="n">
        <v>1</v>
      </c>
      <c r="T21" s="4">
        <f>ROUND(C$3*MIN(1,4/C$6)*Stagionalità!$B$7,0)</f>
        <v/>
      </c>
      <c r="U21" s="19">
        <f>T21*'Conti per prodotto'!$B$10</f>
        <v/>
      </c>
      <c r="V21" s="19">
        <f>T21*'Conti per prodotto'!$I$10</f>
        <v/>
      </c>
      <c r="W21" s="19">
        <f>T21*'Conti per prodotto'!$O$10</f>
        <v/>
      </c>
      <c r="X21" s="19">
        <f>'Costi B2Brand'!$C$11</f>
        <v/>
      </c>
      <c r="Y21" s="19">
        <f>C$7</f>
        <v/>
      </c>
      <c r="Z21" s="20">
        <f>V21-X21-Y21</f>
        <v/>
      </c>
      <c r="AA21" s="19">
        <f>AA20+Z21</f>
        <v/>
      </c>
      <c r="AB21" s="19">
        <f>('Costi B2Brand'!$C$10-'Costi B2Brand'!$C$11)</f>
        <v/>
      </c>
      <c r="AC21" s="19">
        <f>Z21-AB21</f>
        <v/>
      </c>
      <c r="AD21" s="19">
        <f>AD20+AC21</f>
        <v/>
      </c>
      <c r="AE21" s="21">
        <f>IF(Z21&gt;=Ipotesi!$B$14,R21,"")</f>
        <v/>
      </c>
      <c r="AF21" s="21">
        <f>IF(AND(R21&gt;1,AA21&gt;=0),R21,"")</f>
        <v/>
      </c>
      <c r="AG21" s="21">
        <f>IF(AND(R21&gt;1,AD21&gt;=0),R21,"")</f>
        <v/>
      </c>
      <c r="AI21" s="4" t="n">
        <v>4</v>
      </c>
      <c r="AJ21" s="4" t="n">
        <v>1</v>
      </c>
      <c r="AK21" s="4">
        <f>ROUND(D$3*MIN(1,4/D$6)*Stagionalità!$B$7,0)</f>
        <v/>
      </c>
      <c r="AL21" s="19">
        <f>AK21*'Conti per prodotto'!$B$10</f>
        <v/>
      </c>
      <c r="AM21" s="19">
        <f>AK21*'Conti per prodotto'!$I$10</f>
        <v/>
      </c>
      <c r="AN21" s="19">
        <f>AK21*'Conti per prodotto'!$O$10</f>
        <v/>
      </c>
      <c r="AO21" s="19">
        <f>'Costi B2Brand'!$C$11</f>
        <v/>
      </c>
      <c r="AP21" s="19">
        <f>D$7</f>
        <v/>
      </c>
      <c r="AQ21" s="20">
        <f>AM21-AO21-AP21</f>
        <v/>
      </c>
      <c r="AR21" s="19">
        <f>AR20+AQ21</f>
        <v/>
      </c>
      <c r="AS21" s="19">
        <f>('Costi B2Brand'!$C$10-'Costi B2Brand'!$C$11)</f>
        <v/>
      </c>
      <c r="AT21" s="19">
        <f>AQ21-AS21</f>
        <v/>
      </c>
      <c r="AU21" s="19">
        <f>AU20+AT21</f>
        <v/>
      </c>
      <c r="AV21" s="21">
        <f>IF(AQ21&gt;=Ipotesi!$B$14,AI21,"")</f>
        <v/>
      </c>
      <c r="AW21" s="21">
        <f>IF(AND(AI21&gt;1,AR21&gt;=0),AI21,"")</f>
        <v/>
      </c>
      <c r="AX21" s="21">
        <f>IF(AND(AI21&gt;1,AU21&gt;=0),AI21,"")</f>
        <v/>
      </c>
    </row>
    <row r="22">
      <c r="A22" s="4" t="n">
        <v>5</v>
      </c>
      <c r="B22" s="4" t="n">
        <v>1</v>
      </c>
      <c r="C22" s="4">
        <f>ROUND(B$3*MIN(1,5/B$6)*Stagionalità!$B$8,0)</f>
        <v/>
      </c>
      <c r="D22" s="19">
        <f>C22*'Conti per prodotto'!$B$10</f>
        <v/>
      </c>
      <c r="E22" s="19">
        <f>C22*'Conti per prodotto'!$I$10</f>
        <v/>
      </c>
      <c r="F22" s="19">
        <f>C22*'Conti per prodotto'!$O$10</f>
        <v/>
      </c>
      <c r="G22" s="19">
        <f>'Costi B2Brand'!$C$11</f>
        <v/>
      </c>
      <c r="H22" s="19">
        <f>B$7</f>
        <v/>
      </c>
      <c r="I22" s="20">
        <f>E22-G22-H22</f>
        <v/>
      </c>
      <c r="J22" s="19">
        <f>J21+I22</f>
        <v/>
      </c>
      <c r="K22" s="19">
        <f>('Costi B2Brand'!$C$10-'Costi B2Brand'!$C$11)</f>
        <v/>
      </c>
      <c r="L22" s="19">
        <f>I22-K22</f>
        <v/>
      </c>
      <c r="M22" s="19">
        <f>M21+L22</f>
        <v/>
      </c>
      <c r="N22" s="21">
        <f>IF(I22&gt;=Ipotesi!$B$14,A22,"")</f>
        <v/>
      </c>
      <c r="O22" s="21">
        <f>IF(AND(A22&gt;1,J22&gt;=0),A22,"")</f>
        <v/>
      </c>
      <c r="P22" s="21">
        <f>IF(AND(A22&gt;1,M22&gt;=0),A22,"")</f>
        <v/>
      </c>
      <c r="R22" s="4" t="n">
        <v>5</v>
      </c>
      <c r="S22" s="4" t="n">
        <v>1</v>
      </c>
      <c r="T22" s="4">
        <f>ROUND(C$3*MIN(1,5/C$6)*Stagionalità!$B$8,0)</f>
        <v/>
      </c>
      <c r="U22" s="19">
        <f>T22*'Conti per prodotto'!$B$10</f>
        <v/>
      </c>
      <c r="V22" s="19">
        <f>T22*'Conti per prodotto'!$I$10</f>
        <v/>
      </c>
      <c r="W22" s="19">
        <f>T22*'Conti per prodotto'!$O$10</f>
        <v/>
      </c>
      <c r="X22" s="19">
        <f>'Costi B2Brand'!$C$11</f>
        <v/>
      </c>
      <c r="Y22" s="19">
        <f>C$7</f>
        <v/>
      </c>
      <c r="Z22" s="20">
        <f>V22-X22-Y22</f>
        <v/>
      </c>
      <c r="AA22" s="19">
        <f>AA21+Z22</f>
        <v/>
      </c>
      <c r="AB22" s="19">
        <f>('Costi B2Brand'!$C$10-'Costi B2Brand'!$C$11)</f>
        <v/>
      </c>
      <c r="AC22" s="19">
        <f>Z22-AB22</f>
        <v/>
      </c>
      <c r="AD22" s="19">
        <f>AD21+AC22</f>
        <v/>
      </c>
      <c r="AE22" s="21">
        <f>IF(Z22&gt;=Ipotesi!$B$14,R22,"")</f>
        <v/>
      </c>
      <c r="AF22" s="21">
        <f>IF(AND(R22&gt;1,AA22&gt;=0),R22,"")</f>
        <v/>
      </c>
      <c r="AG22" s="21">
        <f>IF(AND(R22&gt;1,AD22&gt;=0),R22,"")</f>
        <v/>
      </c>
      <c r="AI22" s="4" t="n">
        <v>5</v>
      </c>
      <c r="AJ22" s="4" t="n">
        <v>1</v>
      </c>
      <c r="AK22" s="4">
        <f>ROUND(D$3*MIN(1,5/D$6)*Stagionalità!$B$8,0)</f>
        <v/>
      </c>
      <c r="AL22" s="19">
        <f>AK22*'Conti per prodotto'!$B$10</f>
        <v/>
      </c>
      <c r="AM22" s="19">
        <f>AK22*'Conti per prodotto'!$I$10</f>
        <v/>
      </c>
      <c r="AN22" s="19">
        <f>AK22*'Conti per prodotto'!$O$10</f>
        <v/>
      </c>
      <c r="AO22" s="19">
        <f>'Costi B2Brand'!$C$11</f>
        <v/>
      </c>
      <c r="AP22" s="19">
        <f>D$7</f>
        <v/>
      </c>
      <c r="AQ22" s="20">
        <f>AM22-AO22-AP22</f>
        <v/>
      </c>
      <c r="AR22" s="19">
        <f>AR21+AQ22</f>
        <v/>
      </c>
      <c r="AS22" s="19">
        <f>('Costi B2Brand'!$C$10-'Costi B2Brand'!$C$11)</f>
        <v/>
      </c>
      <c r="AT22" s="19">
        <f>AQ22-AS22</f>
        <v/>
      </c>
      <c r="AU22" s="19">
        <f>AU21+AT22</f>
        <v/>
      </c>
      <c r="AV22" s="21">
        <f>IF(AQ22&gt;=Ipotesi!$B$14,AI22,"")</f>
        <v/>
      </c>
      <c r="AW22" s="21">
        <f>IF(AND(AI22&gt;1,AR22&gt;=0),AI22,"")</f>
        <v/>
      </c>
      <c r="AX22" s="21">
        <f>IF(AND(AI22&gt;1,AU22&gt;=0),AI22,"")</f>
        <v/>
      </c>
    </row>
    <row r="23">
      <c r="A23" s="4" t="n">
        <v>6</v>
      </c>
      <c r="B23" s="4" t="n">
        <v>1</v>
      </c>
      <c r="C23" s="4">
        <f>ROUND(B$3*MIN(1,6/B$6)*Stagionalità!$B$9,0)</f>
        <v/>
      </c>
      <c r="D23" s="19">
        <f>C23*'Conti per prodotto'!$B$10</f>
        <v/>
      </c>
      <c r="E23" s="19">
        <f>C23*'Conti per prodotto'!$I$10</f>
        <v/>
      </c>
      <c r="F23" s="19">
        <f>C23*'Conti per prodotto'!$O$10</f>
        <v/>
      </c>
      <c r="G23" s="19">
        <f>'Costi B2Brand'!$C$11</f>
        <v/>
      </c>
      <c r="H23" s="19">
        <f>B$7</f>
        <v/>
      </c>
      <c r="I23" s="20">
        <f>E23-G23-H23</f>
        <v/>
      </c>
      <c r="J23" s="19">
        <f>J22+I23</f>
        <v/>
      </c>
      <c r="K23" s="19">
        <f>('Costi B2Brand'!$C$10-'Costi B2Brand'!$C$11)</f>
        <v/>
      </c>
      <c r="L23" s="19">
        <f>I23-K23</f>
        <v/>
      </c>
      <c r="M23" s="19">
        <f>M22+L23</f>
        <v/>
      </c>
      <c r="N23" s="21">
        <f>IF(I23&gt;=Ipotesi!$B$14,A23,"")</f>
        <v/>
      </c>
      <c r="O23" s="21">
        <f>IF(AND(A23&gt;1,J23&gt;=0),A23,"")</f>
        <v/>
      </c>
      <c r="P23" s="21">
        <f>IF(AND(A23&gt;1,M23&gt;=0),A23,"")</f>
        <v/>
      </c>
      <c r="R23" s="4" t="n">
        <v>6</v>
      </c>
      <c r="S23" s="4" t="n">
        <v>1</v>
      </c>
      <c r="T23" s="4">
        <f>ROUND(C$3*MIN(1,6/C$6)*Stagionalità!$B$9,0)</f>
        <v/>
      </c>
      <c r="U23" s="19">
        <f>T23*'Conti per prodotto'!$B$10</f>
        <v/>
      </c>
      <c r="V23" s="19">
        <f>T23*'Conti per prodotto'!$I$10</f>
        <v/>
      </c>
      <c r="W23" s="19">
        <f>T23*'Conti per prodotto'!$O$10</f>
        <v/>
      </c>
      <c r="X23" s="19">
        <f>'Costi B2Brand'!$C$11</f>
        <v/>
      </c>
      <c r="Y23" s="19">
        <f>C$7</f>
        <v/>
      </c>
      <c r="Z23" s="20">
        <f>V23-X23-Y23</f>
        <v/>
      </c>
      <c r="AA23" s="19">
        <f>AA22+Z23</f>
        <v/>
      </c>
      <c r="AB23" s="19">
        <f>('Costi B2Brand'!$C$10-'Costi B2Brand'!$C$11)</f>
        <v/>
      </c>
      <c r="AC23" s="19">
        <f>Z23-AB23</f>
        <v/>
      </c>
      <c r="AD23" s="19">
        <f>AD22+AC23</f>
        <v/>
      </c>
      <c r="AE23" s="21">
        <f>IF(Z23&gt;=Ipotesi!$B$14,R23,"")</f>
        <v/>
      </c>
      <c r="AF23" s="21">
        <f>IF(AND(R23&gt;1,AA23&gt;=0),R23,"")</f>
        <v/>
      </c>
      <c r="AG23" s="21">
        <f>IF(AND(R23&gt;1,AD23&gt;=0),R23,"")</f>
        <v/>
      </c>
      <c r="AI23" s="4" t="n">
        <v>6</v>
      </c>
      <c r="AJ23" s="4" t="n">
        <v>1</v>
      </c>
      <c r="AK23" s="4">
        <f>ROUND(D$3*MIN(1,6/D$6)*Stagionalità!$B$9,0)</f>
        <v/>
      </c>
      <c r="AL23" s="19">
        <f>AK23*'Conti per prodotto'!$B$10</f>
        <v/>
      </c>
      <c r="AM23" s="19">
        <f>AK23*'Conti per prodotto'!$I$10</f>
        <v/>
      </c>
      <c r="AN23" s="19">
        <f>AK23*'Conti per prodotto'!$O$10</f>
        <v/>
      </c>
      <c r="AO23" s="19">
        <f>'Costi B2Brand'!$C$11</f>
        <v/>
      </c>
      <c r="AP23" s="19">
        <f>D$7</f>
        <v/>
      </c>
      <c r="AQ23" s="20">
        <f>AM23-AO23-AP23</f>
        <v/>
      </c>
      <c r="AR23" s="19">
        <f>AR22+AQ23</f>
        <v/>
      </c>
      <c r="AS23" s="19">
        <f>('Costi B2Brand'!$C$10-'Costi B2Brand'!$C$11)</f>
        <v/>
      </c>
      <c r="AT23" s="19">
        <f>AQ23-AS23</f>
        <v/>
      </c>
      <c r="AU23" s="19">
        <f>AU22+AT23</f>
        <v/>
      </c>
      <c r="AV23" s="21">
        <f>IF(AQ23&gt;=Ipotesi!$B$14,AI23,"")</f>
        <v/>
      </c>
      <c r="AW23" s="21">
        <f>IF(AND(AI23&gt;1,AR23&gt;=0),AI23,"")</f>
        <v/>
      </c>
      <c r="AX23" s="21">
        <f>IF(AND(AI23&gt;1,AU23&gt;=0),AI23,"")</f>
        <v/>
      </c>
    </row>
    <row r="24">
      <c r="A24" s="4" t="n">
        <v>7</v>
      </c>
      <c r="B24" s="4" t="n">
        <v>1</v>
      </c>
      <c r="C24" s="4">
        <f>ROUND(B$3*MIN(1,7/B$6)*Stagionalità!$B$10,0)</f>
        <v/>
      </c>
      <c r="D24" s="19">
        <f>C24*'Conti per prodotto'!$B$10</f>
        <v/>
      </c>
      <c r="E24" s="19">
        <f>C24*'Conti per prodotto'!$I$10</f>
        <v/>
      </c>
      <c r="F24" s="19">
        <f>C24*'Conti per prodotto'!$O$10</f>
        <v/>
      </c>
      <c r="G24" s="19">
        <f>'Costi B2Brand'!$C$11</f>
        <v/>
      </c>
      <c r="H24" s="19">
        <f>B$7</f>
        <v/>
      </c>
      <c r="I24" s="20">
        <f>E24-G24-H24</f>
        <v/>
      </c>
      <c r="J24" s="19">
        <f>J23+I24</f>
        <v/>
      </c>
      <c r="K24" s="19">
        <f>('Costi B2Brand'!$C$10-'Costi B2Brand'!$C$11)</f>
        <v/>
      </c>
      <c r="L24" s="19">
        <f>I24-K24</f>
        <v/>
      </c>
      <c r="M24" s="19">
        <f>M23+L24</f>
        <v/>
      </c>
      <c r="N24" s="21">
        <f>IF(I24&gt;=Ipotesi!$B$14,A24,"")</f>
        <v/>
      </c>
      <c r="O24" s="21">
        <f>IF(AND(A24&gt;1,J24&gt;=0),A24,"")</f>
        <v/>
      </c>
      <c r="P24" s="21">
        <f>IF(AND(A24&gt;1,M24&gt;=0),A24,"")</f>
        <v/>
      </c>
      <c r="R24" s="4" t="n">
        <v>7</v>
      </c>
      <c r="S24" s="4" t="n">
        <v>1</v>
      </c>
      <c r="T24" s="4">
        <f>ROUND(C$3*MIN(1,7/C$6)*Stagionalità!$B$10,0)</f>
        <v/>
      </c>
      <c r="U24" s="19">
        <f>T24*'Conti per prodotto'!$B$10</f>
        <v/>
      </c>
      <c r="V24" s="19">
        <f>T24*'Conti per prodotto'!$I$10</f>
        <v/>
      </c>
      <c r="W24" s="19">
        <f>T24*'Conti per prodotto'!$O$10</f>
        <v/>
      </c>
      <c r="X24" s="19">
        <f>'Costi B2Brand'!$C$11</f>
        <v/>
      </c>
      <c r="Y24" s="19">
        <f>C$7</f>
        <v/>
      </c>
      <c r="Z24" s="20">
        <f>V24-X24-Y24</f>
        <v/>
      </c>
      <c r="AA24" s="19">
        <f>AA23+Z24</f>
        <v/>
      </c>
      <c r="AB24" s="19">
        <f>('Costi B2Brand'!$C$10-'Costi B2Brand'!$C$11)</f>
        <v/>
      </c>
      <c r="AC24" s="19">
        <f>Z24-AB24</f>
        <v/>
      </c>
      <c r="AD24" s="19">
        <f>AD23+AC24</f>
        <v/>
      </c>
      <c r="AE24" s="21">
        <f>IF(Z24&gt;=Ipotesi!$B$14,R24,"")</f>
        <v/>
      </c>
      <c r="AF24" s="21">
        <f>IF(AND(R24&gt;1,AA24&gt;=0),R24,"")</f>
        <v/>
      </c>
      <c r="AG24" s="21">
        <f>IF(AND(R24&gt;1,AD24&gt;=0),R24,"")</f>
        <v/>
      </c>
      <c r="AI24" s="4" t="n">
        <v>7</v>
      </c>
      <c r="AJ24" s="4" t="n">
        <v>1</v>
      </c>
      <c r="AK24" s="4">
        <f>ROUND(D$3*MIN(1,7/D$6)*Stagionalità!$B$10,0)</f>
        <v/>
      </c>
      <c r="AL24" s="19">
        <f>AK24*'Conti per prodotto'!$B$10</f>
        <v/>
      </c>
      <c r="AM24" s="19">
        <f>AK24*'Conti per prodotto'!$I$10</f>
        <v/>
      </c>
      <c r="AN24" s="19">
        <f>AK24*'Conti per prodotto'!$O$10</f>
        <v/>
      </c>
      <c r="AO24" s="19">
        <f>'Costi B2Brand'!$C$11</f>
        <v/>
      </c>
      <c r="AP24" s="19">
        <f>D$7</f>
        <v/>
      </c>
      <c r="AQ24" s="20">
        <f>AM24-AO24-AP24</f>
        <v/>
      </c>
      <c r="AR24" s="19">
        <f>AR23+AQ24</f>
        <v/>
      </c>
      <c r="AS24" s="19">
        <f>('Costi B2Brand'!$C$10-'Costi B2Brand'!$C$11)</f>
        <v/>
      </c>
      <c r="AT24" s="19">
        <f>AQ24-AS24</f>
        <v/>
      </c>
      <c r="AU24" s="19">
        <f>AU23+AT24</f>
        <v/>
      </c>
      <c r="AV24" s="21">
        <f>IF(AQ24&gt;=Ipotesi!$B$14,AI24,"")</f>
        <v/>
      </c>
      <c r="AW24" s="21">
        <f>IF(AND(AI24&gt;1,AR24&gt;=0),AI24,"")</f>
        <v/>
      </c>
      <c r="AX24" s="21">
        <f>IF(AND(AI24&gt;1,AU24&gt;=0),AI24,"")</f>
        <v/>
      </c>
    </row>
    <row r="25">
      <c r="A25" s="4" t="n">
        <v>8</v>
      </c>
      <c r="B25" s="4" t="n">
        <v>1</v>
      </c>
      <c r="C25" s="4">
        <f>ROUND(B$3*MIN(1,8/B$6)*Stagionalità!$B$11,0)</f>
        <v/>
      </c>
      <c r="D25" s="19">
        <f>C25*'Conti per prodotto'!$B$10</f>
        <v/>
      </c>
      <c r="E25" s="19">
        <f>C25*'Conti per prodotto'!$I$10</f>
        <v/>
      </c>
      <c r="F25" s="19">
        <f>C25*'Conti per prodotto'!$O$10</f>
        <v/>
      </c>
      <c r="G25" s="19">
        <f>'Costi B2Brand'!$C$11</f>
        <v/>
      </c>
      <c r="H25" s="19">
        <f>B$7</f>
        <v/>
      </c>
      <c r="I25" s="20">
        <f>E25-G25-H25</f>
        <v/>
      </c>
      <c r="J25" s="19">
        <f>J24+I25</f>
        <v/>
      </c>
      <c r="K25" s="19">
        <f>('Costi B2Brand'!$C$10-'Costi B2Brand'!$C$11)</f>
        <v/>
      </c>
      <c r="L25" s="19">
        <f>I25-K25</f>
        <v/>
      </c>
      <c r="M25" s="19">
        <f>M24+L25</f>
        <v/>
      </c>
      <c r="N25" s="21">
        <f>IF(I25&gt;=Ipotesi!$B$14,A25,"")</f>
        <v/>
      </c>
      <c r="O25" s="21">
        <f>IF(AND(A25&gt;1,J25&gt;=0),A25,"")</f>
        <v/>
      </c>
      <c r="P25" s="21">
        <f>IF(AND(A25&gt;1,M25&gt;=0),A25,"")</f>
        <v/>
      </c>
      <c r="R25" s="4" t="n">
        <v>8</v>
      </c>
      <c r="S25" s="4" t="n">
        <v>1</v>
      </c>
      <c r="T25" s="4">
        <f>ROUND(C$3*MIN(1,8/C$6)*Stagionalità!$B$11,0)</f>
        <v/>
      </c>
      <c r="U25" s="19">
        <f>T25*'Conti per prodotto'!$B$10</f>
        <v/>
      </c>
      <c r="V25" s="19">
        <f>T25*'Conti per prodotto'!$I$10</f>
        <v/>
      </c>
      <c r="W25" s="19">
        <f>T25*'Conti per prodotto'!$O$10</f>
        <v/>
      </c>
      <c r="X25" s="19">
        <f>'Costi B2Brand'!$C$11</f>
        <v/>
      </c>
      <c r="Y25" s="19">
        <f>C$7</f>
        <v/>
      </c>
      <c r="Z25" s="20">
        <f>V25-X25-Y25</f>
        <v/>
      </c>
      <c r="AA25" s="19">
        <f>AA24+Z25</f>
        <v/>
      </c>
      <c r="AB25" s="19">
        <f>('Costi B2Brand'!$C$10-'Costi B2Brand'!$C$11)</f>
        <v/>
      </c>
      <c r="AC25" s="19">
        <f>Z25-AB25</f>
        <v/>
      </c>
      <c r="AD25" s="19">
        <f>AD24+AC25</f>
        <v/>
      </c>
      <c r="AE25" s="21">
        <f>IF(Z25&gt;=Ipotesi!$B$14,R25,"")</f>
        <v/>
      </c>
      <c r="AF25" s="21">
        <f>IF(AND(R25&gt;1,AA25&gt;=0),R25,"")</f>
        <v/>
      </c>
      <c r="AG25" s="21">
        <f>IF(AND(R25&gt;1,AD25&gt;=0),R25,"")</f>
        <v/>
      </c>
      <c r="AI25" s="4" t="n">
        <v>8</v>
      </c>
      <c r="AJ25" s="4" t="n">
        <v>1</v>
      </c>
      <c r="AK25" s="4">
        <f>ROUND(D$3*MIN(1,8/D$6)*Stagionalità!$B$11,0)</f>
        <v/>
      </c>
      <c r="AL25" s="19">
        <f>AK25*'Conti per prodotto'!$B$10</f>
        <v/>
      </c>
      <c r="AM25" s="19">
        <f>AK25*'Conti per prodotto'!$I$10</f>
        <v/>
      </c>
      <c r="AN25" s="19">
        <f>AK25*'Conti per prodotto'!$O$10</f>
        <v/>
      </c>
      <c r="AO25" s="19">
        <f>'Costi B2Brand'!$C$11</f>
        <v/>
      </c>
      <c r="AP25" s="19">
        <f>D$7</f>
        <v/>
      </c>
      <c r="AQ25" s="20">
        <f>AM25-AO25-AP25</f>
        <v/>
      </c>
      <c r="AR25" s="19">
        <f>AR24+AQ25</f>
        <v/>
      </c>
      <c r="AS25" s="19">
        <f>('Costi B2Brand'!$C$10-'Costi B2Brand'!$C$11)</f>
        <v/>
      </c>
      <c r="AT25" s="19">
        <f>AQ25-AS25</f>
        <v/>
      </c>
      <c r="AU25" s="19">
        <f>AU24+AT25</f>
        <v/>
      </c>
      <c r="AV25" s="21">
        <f>IF(AQ25&gt;=Ipotesi!$B$14,AI25,"")</f>
        <v/>
      </c>
      <c r="AW25" s="21">
        <f>IF(AND(AI25&gt;1,AR25&gt;=0),AI25,"")</f>
        <v/>
      </c>
      <c r="AX25" s="21">
        <f>IF(AND(AI25&gt;1,AU25&gt;=0),AI25,"")</f>
        <v/>
      </c>
    </row>
    <row r="26">
      <c r="A26" s="4" t="n">
        <v>9</v>
      </c>
      <c r="B26" s="4" t="n">
        <v>1</v>
      </c>
      <c r="C26" s="4">
        <f>ROUND(B$3*MIN(1,9/B$6)*Stagionalità!$B$12,0)</f>
        <v/>
      </c>
      <c r="D26" s="19">
        <f>C26*'Conti per prodotto'!$B$10</f>
        <v/>
      </c>
      <c r="E26" s="19">
        <f>C26*'Conti per prodotto'!$I$10</f>
        <v/>
      </c>
      <c r="F26" s="19">
        <f>C26*'Conti per prodotto'!$O$10</f>
        <v/>
      </c>
      <c r="G26" s="19">
        <f>'Costi B2Brand'!$C$11</f>
        <v/>
      </c>
      <c r="H26" s="19">
        <f>B$7</f>
        <v/>
      </c>
      <c r="I26" s="20">
        <f>E26-G26-H26</f>
        <v/>
      </c>
      <c r="J26" s="19">
        <f>J25+I26</f>
        <v/>
      </c>
      <c r="K26" s="19">
        <f>('Costi B2Brand'!$C$10-'Costi B2Brand'!$C$11)</f>
        <v/>
      </c>
      <c r="L26" s="19">
        <f>I26-K26</f>
        <v/>
      </c>
      <c r="M26" s="19">
        <f>M25+L26</f>
        <v/>
      </c>
      <c r="N26" s="21">
        <f>IF(I26&gt;=Ipotesi!$B$14,A26,"")</f>
        <v/>
      </c>
      <c r="O26" s="21">
        <f>IF(AND(A26&gt;1,J26&gt;=0),A26,"")</f>
        <v/>
      </c>
      <c r="P26" s="21">
        <f>IF(AND(A26&gt;1,M26&gt;=0),A26,"")</f>
        <v/>
      </c>
      <c r="R26" s="4" t="n">
        <v>9</v>
      </c>
      <c r="S26" s="4" t="n">
        <v>1</v>
      </c>
      <c r="T26" s="4">
        <f>ROUND(C$3*MIN(1,9/C$6)*Stagionalità!$B$12,0)</f>
        <v/>
      </c>
      <c r="U26" s="19">
        <f>T26*'Conti per prodotto'!$B$10</f>
        <v/>
      </c>
      <c r="V26" s="19">
        <f>T26*'Conti per prodotto'!$I$10</f>
        <v/>
      </c>
      <c r="W26" s="19">
        <f>T26*'Conti per prodotto'!$O$10</f>
        <v/>
      </c>
      <c r="X26" s="19">
        <f>'Costi B2Brand'!$C$11</f>
        <v/>
      </c>
      <c r="Y26" s="19">
        <f>C$7</f>
        <v/>
      </c>
      <c r="Z26" s="20">
        <f>V26-X26-Y26</f>
        <v/>
      </c>
      <c r="AA26" s="19">
        <f>AA25+Z26</f>
        <v/>
      </c>
      <c r="AB26" s="19">
        <f>('Costi B2Brand'!$C$10-'Costi B2Brand'!$C$11)</f>
        <v/>
      </c>
      <c r="AC26" s="19">
        <f>Z26-AB26</f>
        <v/>
      </c>
      <c r="AD26" s="19">
        <f>AD25+AC26</f>
        <v/>
      </c>
      <c r="AE26" s="21">
        <f>IF(Z26&gt;=Ipotesi!$B$14,R26,"")</f>
        <v/>
      </c>
      <c r="AF26" s="21">
        <f>IF(AND(R26&gt;1,AA26&gt;=0),R26,"")</f>
        <v/>
      </c>
      <c r="AG26" s="21">
        <f>IF(AND(R26&gt;1,AD26&gt;=0),R26,"")</f>
        <v/>
      </c>
      <c r="AI26" s="4" t="n">
        <v>9</v>
      </c>
      <c r="AJ26" s="4" t="n">
        <v>1</v>
      </c>
      <c r="AK26" s="4">
        <f>ROUND(D$3*MIN(1,9/D$6)*Stagionalità!$B$12,0)</f>
        <v/>
      </c>
      <c r="AL26" s="19">
        <f>AK26*'Conti per prodotto'!$B$10</f>
        <v/>
      </c>
      <c r="AM26" s="19">
        <f>AK26*'Conti per prodotto'!$I$10</f>
        <v/>
      </c>
      <c r="AN26" s="19">
        <f>AK26*'Conti per prodotto'!$O$10</f>
        <v/>
      </c>
      <c r="AO26" s="19">
        <f>'Costi B2Brand'!$C$11</f>
        <v/>
      </c>
      <c r="AP26" s="19">
        <f>D$7</f>
        <v/>
      </c>
      <c r="AQ26" s="20">
        <f>AM26-AO26-AP26</f>
        <v/>
      </c>
      <c r="AR26" s="19">
        <f>AR25+AQ26</f>
        <v/>
      </c>
      <c r="AS26" s="19">
        <f>('Costi B2Brand'!$C$10-'Costi B2Brand'!$C$11)</f>
        <v/>
      </c>
      <c r="AT26" s="19">
        <f>AQ26-AS26</f>
        <v/>
      </c>
      <c r="AU26" s="19">
        <f>AU25+AT26</f>
        <v/>
      </c>
      <c r="AV26" s="21">
        <f>IF(AQ26&gt;=Ipotesi!$B$14,AI26,"")</f>
        <v/>
      </c>
      <c r="AW26" s="21">
        <f>IF(AND(AI26&gt;1,AR26&gt;=0),AI26,"")</f>
        <v/>
      </c>
      <c r="AX26" s="21">
        <f>IF(AND(AI26&gt;1,AU26&gt;=0),AI26,"")</f>
        <v/>
      </c>
    </row>
    <row r="27">
      <c r="A27" s="4" t="n">
        <v>10</v>
      </c>
      <c r="B27" s="4" t="n">
        <v>1</v>
      </c>
      <c r="C27" s="4">
        <f>ROUND(B$3*MIN(1,10/B$6)*Stagionalità!$B$13,0)</f>
        <v/>
      </c>
      <c r="D27" s="19">
        <f>C27*'Conti per prodotto'!$B$10</f>
        <v/>
      </c>
      <c r="E27" s="19">
        <f>C27*'Conti per prodotto'!$I$10</f>
        <v/>
      </c>
      <c r="F27" s="19">
        <f>C27*'Conti per prodotto'!$O$10</f>
        <v/>
      </c>
      <c r="G27" s="19">
        <f>'Costi B2Brand'!$C$11</f>
        <v/>
      </c>
      <c r="H27" s="19">
        <f>B$7</f>
        <v/>
      </c>
      <c r="I27" s="20">
        <f>E27-G27-H27</f>
        <v/>
      </c>
      <c r="J27" s="19">
        <f>J26+I27</f>
        <v/>
      </c>
      <c r="K27" s="19">
        <f>('Costi B2Brand'!$C$10-'Costi B2Brand'!$C$11)</f>
        <v/>
      </c>
      <c r="L27" s="19">
        <f>I27-K27</f>
        <v/>
      </c>
      <c r="M27" s="19">
        <f>M26+L27</f>
        <v/>
      </c>
      <c r="N27" s="21">
        <f>IF(I27&gt;=Ipotesi!$B$14,A27,"")</f>
        <v/>
      </c>
      <c r="O27" s="21">
        <f>IF(AND(A27&gt;1,J27&gt;=0),A27,"")</f>
        <v/>
      </c>
      <c r="P27" s="21">
        <f>IF(AND(A27&gt;1,M27&gt;=0),A27,"")</f>
        <v/>
      </c>
      <c r="R27" s="4" t="n">
        <v>10</v>
      </c>
      <c r="S27" s="4" t="n">
        <v>1</v>
      </c>
      <c r="T27" s="4">
        <f>ROUND(C$3*MIN(1,10/C$6)*Stagionalità!$B$13,0)</f>
        <v/>
      </c>
      <c r="U27" s="19">
        <f>T27*'Conti per prodotto'!$B$10</f>
        <v/>
      </c>
      <c r="V27" s="19">
        <f>T27*'Conti per prodotto'!$I$10</f>
        <v/>
      </c>
      <c r="W27" s="19">
        <f>T27*'Conti per prodotto'!$O$10</f>
        <v/>
      </c>
      <c r="X27" s="19">
        <f>'Costi B2Brand'!$C$11</f>
        <v/>
      </c>
      <c r="Y27" s="19">
        <f>C$7</f>
        <v/>
      </c>
      <c r="Z27" s="20">
        <f>V27-X27-Y27</f>
        <v/>
      </c>
      <c r="AA27" s="19">
        <f>AA26+Z27</f>
        <v/>
      </c>
      <c r="AB27" s="19">
        <f>('Costi B2Brand'!$C$10-'Costi B2Brand'!$C$11)</f>
        <v/>
      </c>
      <c r="AC27" s="19">
        <f>Z27-AB27</f>
        <v/>
      </c>
      <c r="AD27" s="19">
        <f>AD26+AC27</f>
        <v/>
      </c>
      <c r="AE27" s="21">
        <f>IF(Z27&gt;=Ipotesi!$B$14,R27,"")</f>
        <v/>
      </c>
      <c r="AF27" s="21">
        <f>IF(AND(R27&gt;1,AA27&gt;=0),R27,"")</f>
        <v/>
      </c>
      <c r="AG27" s="21">
        <f>IF(AND(R27&gt;1,AD27&gt;=0),R27,"")</f>
        <v/>
      </c>
      <c r="AI27" s="4" t="n">
        <v>10</v>
      </c>
      <c r="AJ27" s="4" t="n">
        <v>1</v>
      </c>
      <c r="AK27" s="4">
        <f>ROUND(D$3*MIN(1,10/D$6)*Stagionalità!$B$13,0)</f>
        <v/>
      </c>
      <c r="AL27" s="19">
        <f>AK27*'Conti per prodotto'!$B$10</f>
        <v/>
      </c>
      <c r="AM27" s="19">
        <f>AK27*'Conti per prodotto'!$I$10</f>
        <v/>
      </c>
      <c r="AN27" s="19">
        <f>AK27*'Conti per prodotto'!$O$10</f>
        <v/>
      </c>
      <c r="AO27" s="19">
        <f>'Costi B2Brand'!$C$11</f>
        <v/>
      </c>
      <c r="AP27" s="19">
        <f>D$7</f>
        <v/>
      </c>
      <c r="AQ27" s="20">
        <f>AM27-AO27-AP27</f>
        <v/>
      </c>
      <c r="AR27" s="19">
        <f>AR26+AQ27</f>
        <v/>
      </c>
      <c r="AS27" s="19">
        <f>('Costi B2Brand'!$C$10-'Costi B2Brand'!$C$11)</f>
        <v/>
      </c>
      <c r="AT27" s="19">
        <f>AQ27-AS27</f>
        <v/>
      </c>
      <c r="AU27" s="19">
        <f>AU26+AT27</f>
        <v/>
      </c>
      <c r="AV27" s="21">
        <f>IF(AQ27&gt;=Ipotesi!$B$14,AI27,"")</f>
        <v/>
      </c>
      <c r="AW27" s="21">
        <f>IF(AND(AI27&gt;1,AR27&gt;=0),AI27,"")</f>
        <v/>
      </c>
      <c r="AX27" s="21">
        <f>IF(AND(AI27&gt;1,AU27&gt;=0),AI27,"")</f>
        <v/>
      </c>
    </row>
    <row r="28">
      <c r="A28" s="4" t="n">
        <v>11</v>
      </c>
      <c r="B28" s="4" t="n">
        <v>1</v>
      </c>
      <c r="C28" s="4">
        <f>ROUND(B$3*MIN(1,11/B$6)*Stagionalità!$B$2,0)</f>
        <v/>
      </c>
      <c r="D28" s="19">
        <f>C28*'Conti per prodotto'!$B$10</f>
        <v/>
      </c>
      <c r="E28" s="19">
        <f>C28*'Conti per prodotto'!$I$10</f>
        <v/>
      </c>
      <c r="F28" s="19">
        <f>C28*'Conti per prodotto'!$O$10</f>
        <v/>
      </c>
      <c r="G28" s="19">
        <f>'Costi B2Brand'!$C$11</f>
        <v/>
      </c>
      <c r="H28" s="19">
        <f>B$7</f>
        <v/>
      </c>
      <c r="I28" s="20">
        <f>E28-G28-H28</f>
        <v/>
      </c>
      <c r="J28" s="19">
        <f>J27+I28</f>
        <v/>
      </c>
      <c r="K28" s="19">
        <f>('Costi B2Brand'!$C$10-'Costi B2Brand'!$C$11)</f>
        <v/>
      </c>
      <c r="L28" s="19">
        <f>I28-K28</f>
        <v/>
      </c>
      <c r="M28" s="19">
        <f>M27+L28</f>
        <v/>
      </c>
      <c r="N28" s="21">
        <f>IF(I28&gt;=Ipotesi!$B$14,A28,"")</f>
        <v/>
      </c>
      <c r="O28" s="21">
        <f>IF(AND(A28&gt;1,J28&gt;=0),A28,"")</f>
        <v/>
      </c>
      <c r="P28" s="21">
        <f>IF(AND(A28&gt;1,M28&gt;=0),A28,"")</f>
        <v/>
      </c>
      <c r="R28" s="4" t="n">
        <v>11</v>
      </c>
      <c r="S28" s="4" t="n">
        <v>1</v>
      </c>
      <c r="T28" s="4">
        <f>ROUND(C$3*MIN(1,11/C$6)*Stagionalità!$B$2,0)</f>
        <v/>
      </c>
      <c r="U28" s="19">
        <f>T28*'Conti per prodotto'!$B$10</f>
        <v/>
      </c>
      <c r="V28" s="19">
        <f>T28*'Conti per prodotto'!$I$10</f>
        <v/>
      </c>
      <c r="W28" s="19">
        <f>T28*'Conti per prodotto'!$O$10</f>
        <v/>
      </c>
      <c r="X28" s="19">
        <f>'Costi B2Brand'!$C$11</f>
        <v/>
      </c>
      <c r="Y28" s="19">
        <f>C$7</f>
        <v/>
      </c>
      <c r="Z28" s="20">
        <f>V28-X28-Y28</f>
        <v/>
      </c>
      <c r="AA28" s="19">
        <f>AA27+Z28</f>
        <v/>
      </c>
      <c r="AB28" s="19">
        <f>('Costi B2Brand'!$C$10-'Costi B2Brand'!$C$11)</f>
        <v/>
      </c>
      <c r="AC28" s="19">
        <f>Z28-AB28</f>
        <v/>
      </c>
      <c r="AD28" s="19">
        <f>AD27+AC28</f>
        <v/>
      </c>
      <c r="AE28" s="21">
        <f>IF(Z28&gt;=Ipotesi!$B$14,R28,"")</f>
        <v/>
      </c>
      <c r="AF28" s="21">
        <f>IF(AND(R28&gt;1,AA28&gt;=0),R28,"")</f>
        <v/>
      </c>
      <c r="AG28" s="21">
        <f>IF(AND(R28&gt;1,AD28&gt;=0),R28,"")</f>
        <v/>
      </c>
      <c r="AI28" s="4" t="n">
        <v>11</v>
      </c>
      <c r="AJ28" s="4" t="n">
        <v>1</v>
      </c>
      <c r="AK28" s="4">
        <f>ROUND(D$3*MIN(1,11/D$6)*Stagionalità!$B$2,0)</f>
        <v/>
      </c>
      <c r="AL28" s="19">
        <f>AK28*'Conti per prodotto'!$B$10</f>
        <v/>
      </c>
      <c r="AM28" s="19">
        <f>AK28*'Conti per prodotto'!$I$10</f>
        <v/>
      </c>
      <c r="AN28" s="19">
        <f>AK28*'Conti per prodotto'!$O$10</f>
        <v/>
      </c>
      <c r="AO28" s="19">
        <f>'Costi B2Brand'!$C$11</f>
        <v/>
      </c>
      <c r="AP28" s="19">
        <f>D$7</f>
        <v/>
      </c>
      <c r="AQ28" s="20">
        <f>AM28-AO28-AP28</f>
        <v/>
      </c>
      <c r="AR28" s="19">
        <f>AR27+AQ28</f>
        <v/>
      </c>
      <c r="AS28" s="19">
        <f>('Costi B2Brand'!$C$10-'Costi B2Brand'!$C$11)</f>
        <v/>
      </c>
      <c r="AT28" s="19">
        <f>AQ28-AS28</f>
        <v/>
      </c>
      <c r="AU28" s="19">
        <f>AU27+AT28</f>
        <v/>
      </c>
      <c r="AV28" s="21">
        <f>IF(AQ28&gt;=Ipotesi!$B$14,AI28,"")</f>
        <v/>
      </c>
      <c r="AW28" s="21">
        <f>IF(AND(AI28&gt;1,AR28&gt;=0),AI28,"")</f>
        <v/>
      </c>
      <c r="AX28" s="21">
        <f>IF(AND(AI28&gt;1,AU28&gt;=0),AI28,"")</f>
        <v/>
      </c>
    </row>
    <row r="29">
      <c r="A29" s="4" t="n">
        <v>12</v>
      </c>
      <c r="B29" s="4" t="n">
        <v>1</v>
      </c>
      <c r="C29" s="4">
        <f>ROUND(B$3*MIN(1,12/B$6)*Stagionalità!$B$3,0)</f>
        <v/>
      </c>
      <c r="D29" s="19">
        <f>C29*'Conti per prodotto'!$B$10</f>
        <v/>
      </c>
      <c r="E29" s="19">
        <f>C29*'Conti per prodotto'!$I$10</f>
        <v/>
      </c>
      <c r="F29" s="19">
        <f>C29*'Conti per prodotto'!$O$10</f>
        <v/>
      </c>
      <c r="G29" s="19">
        <f>'Costi B2Brand'!$C$11</f>
        <v/>
      </c>
      <c r="H29" s="19">
        <f>B$7</f>
        <v/>
      </c>
      <c r="I29" s="20">
        <f>E29-G29-H29</f>
        <v/>
      </c>
      <c r="J29" s="19">
        <f>J28+I29</f>
        <v/>
      </c>
      <c r="K29" s="19">
        <f>('Costi B2Brand'!$C$10-'Costi B2Brand'!$C$11)</f>
        <v/>
      </c>
      <c r="L29" s="19">
        <f>I29-K29</f>
        <v/>
      </c>
      <c r="M29" s="19">
        <f>M28+L29</f>
        <v/>
      </c>
      <c r="N29" s="21">
        <f>IF(I29&gt;=Ipotesi!$B$14,A29,"")</f>
        <v/>
      </c>
      <c r="O29" s="21">
        <f>IF(AND(A29&gt;1,J29&gt;=0),A29,"")</f>
        <v/>
      </c>
      <c r="P29" s="21">
        <f>IF(AND(A29&gt;1,M29&gt;=0),A29,"")</f>
        <v/>
      </c>
      <c r="R29" s="4" t="n">
        <v>12</v>
      </c>
      <c r="S29" s="4" t="n">
        <v>1</v>
      </c>
      <c r="T29" s="4">
        <f>ROUND(C$3*MIN(1,12/C$6)*Stagionalità!$B$3,0)</f>
        <v/>
      </c>
      <c r="U29" s="19">
        <f>T29*'Conti per prodotto'!$B$10</f>
        <v/>
      </c>
      <c r="V29" s="19">
        <f>T29*'Conti per prodotto'!$I$10</f>
        <v/>
      </c>
      <c r="W29" s="19">
        <f>T29*'Conti per prodotto'!$O$10</f>
        <v/>
      </c>
      <c r="X29" s="19">
        <f>'Costi B2Brand'!$C$11</f>
        <v/>
      </c>
      <c r="Y29" s="19">
        <f>C$7</f>
        <v/>
      </c>
      <c r="Z29" s="20">
        <f>V29-X29-Y29</f>
        <v/>
      </c>
      <c r="AA29" s="19">
        <f>AA28+Z29</f>
        <v/>
      </c>
      <c r="AB29" s="19">
        <f>('Costi B2Brand'!$C$10-'Costi B2Brand'!$C$11)</f>
        <v/>
      </c>
      <c r="AC29" s="19">
        <f>Z29-AB29</f>
        <v/>
      </c>
      <c r="AD29" s="19">
        <f>AD28+AC29</f>
        <v/>
      </c>
      <c r="AE29" s="21">
        <f>IF(Z29&gt;=Ipotesi!$B$14,R29,"")</f>
        <v/>
      </c>
      <c r="AF29" s="21">
        <f>IF(AND(R29&gt;1,AA29&gt;=0),R29,"")</f>
        <v/>
      </c>
      <c r="AG29" s="21">
        <f>IF(AND(R29&gt;1,AD29&gt;=0),R29,"")</f>
        <v/>
      </c>
      <c r="AI29" s="4" t="n">
        <v>12</v>
      </c>
      <c r="AJ29" s="4" t="n">
        <v>1</v>
      </c>
      <c r="AK29" s="4">
        <f>ROUND(D$3*MIN(1,12/D$6)*Stagionalità!$B$3,0)</f>
        <v/>
      </c>
      <c r="AL29" s="19">
        <f>AK29*'Conti per prodotto'!$B$10</f>
        <v/>
      </c>
      <c r="AM29" s="19">
        <f>AK29*'Conti per prodotto'!$I$10</f>
        <v/>
      </c>
      <c r="AN29" s="19">
        <f>AK29*'Conti per prodotto'!$O$10</f>
        <v/>
      </c>
      <c r="AO29" s="19">
        <f>'Costi B2Brand'!$C$11</f>
        <v/>
      </c>
      <c r="AP29" s="19">
        <f>D$7</f>
        <v/>
      </c>
      <c r="AQ29" s="20">
        <f>AM29-AO29-AP29</f>
        <v/>
      </c>
      <c r="AR29" s="19">
        <f>AR28+AQ29</f>
        <v/>
      </c>
      <c r="AS29" s="19">
        <f>('Costi B2Brand'!$C$10-'Costi B2Brand'!$C$11)</f>
        <v/>
      </c>
      <c r="AT29" s="19">
        <f>AQ29-AS29</f>
        <v/>
      </c>
      <c r="AU29" s="19">
        <f>AU28+AT29</f>
        <v/>
      </c>
      <c r="AV29" s="21">
        <f>IF(AQ29&gt;=Ipotesi!$B$14,AI29,"")</f>
        <v/>
      </c>
      <c r="AW29" s="21">
        <f>IF(AND(AI29&gt;1,AR29&gt;=0),AI29,"")</f>
        <v/>
      </c>
      <c r="AX29" s="21">
        <f>IF(AND(AI29&gt;1,AU29&gt;=0),AI29,"")</f>
        <v/>
      </c>
    </row>
    <row r="30">
      <c r="A30" s="4" t="n">
        <v>13</v>
      </c>
      <c r="B30" s="4" t="n">
        <v>2</v>
      </c>
      <c r="C30" s="4">
        <f>ROUND(B$4*Stagionalità!$B$4,0)</f>
        <v/>
      </c>
      <c r="D30" s="19">
        <f>C30*'Conti per prodotto'!$B$10</f>
        <v/>
      </c>
      <c r="E30" s="19">
        <f>C30*'Conti per prodotto'!$I$10</f>
        <v/>
      </c>
      <c r="F30" s="19">
        <f>C30*'Conti per prodotto'!$O$10</f>
        <v/>
      </c>
      <c r="G30" s="19">
        <f>'Costi B2Brand'!$D$11</f>
        <v/>
      </c>
      <c r="H30" s="19">
        <f>B$8</f>
        <v/>
      </c>
      <c r="I30" s="20">
        <f>E30-G30-H30</f>
        <v/>
      </c>
      <c r="J30" s="19">
        <f>J29+I30</f>
        <v/>
      </c>
      <c r="K30" s="19">
        <f>('Costi B2Brand'!$D$10-'Costi B2Brand'!$D$11)</f>
        <v/>
      </c>
      <c r="L30" s="19">
        <f>I30-K30</f>
        <v/>
      </c>
      <c r="M30" s="19">
        <f>M29+L30</f>
        <v/>
      </c>
      <c r="N30" s="21">
        <f>IF(I30&gt;=Ipotesi!$B$14,A30,"")</f>
        <v/>
      </c>
      <c r="O30" s="21">
        <f>IF(AND(A30&gt;1,J30&gt;=0),A30,"")</f>
        <v/>
      </c>
      <c r="P30" s="21">
        <f>IF(AND(A30&gt;1,M30&gt;=0),A30,"")</f>
        <v/>
      </c>
      <c r="R30" s="4" t="n">
        <v>13</v>
      </c>
      <c r="S30" s="4" t="n">
        <v>2</v>
      </c>
      <c r="T30" s="4">
        <f>ROUND(C$4*Stagionalità!$B$4,0)</f>
        <v/>
      </c>
      <c r="U30" s="19">
        <f>T30*'Conti per prodotto'!$B$10</f>
        <v/>
      </c>
      <c r="V30" s="19">
        <f>T30*'Conti per prodotto'!$I$10</f>
        <v/>
      </c>
      <c r="W30" s="19">
        <f>T30*'Conti per prodotto'!$O$10</f>
        <v/>
      </c>
      <c r="X30" s="19">
        <f>'Costi B2Brand'!$D$11</f>
        <v/>
      </c>
      <c r="Y30" s="19">
        <f>C$8</f>
        <v/>
      </c>
      <c r="Z30" s="20">
        <f>V30-X30-Y30</f>
        <v/>
      </c>
      <c r="AA30" s="19">
        <f>AA29+Z30</f>
        <v/>
      </c>
      <c r="AB30" s="19">
        <f>('Costi B2Brand'!$D$10-'Costi B2Brand'!$D$11)</f>
        <v/>
      </c>
      <c r="AC30" s="19">
        <f>Z30-AB30</f>
        <v/>
      </c>
      <c r="AD30" s="19">
        <f>AD29+AC30</f>
        <v/>
      </c>
      <c r="AE30" s="21">
        <f>IF(Z30&gt;=Ipotesi!$B$14,R30,"")</f>
        <v/>
      </c>
      <c r="AF30" s="21">
        <f>IF(AND(R30&gt;1,AA30&gt;=0),R30,"")</f>
        <v/>
      </c>
      <c r="AG30" s="21">
        <f>IF(AND(R30&gt;1,AD30&gt;=0),R30,"")</f>
        <v/>
      </c>
      <c r="AI30" s="4" t="n">
        <v>13</v>
      </c>
      <c r="AJ30" s="4" t="n">
        <v>2</v>
      </c>
      <c r="AK30" s="4">
        <f>ROUND(D$4*Stagionalità!$B$4,0)</f>
        <v/>
      </c>
      <c r="AL30" s="19">
        <f>AK30*'Conti per prodotto'!$B$10</f>
        <v/>
      </c>
      <c r="AM30" s="19">
        <f>AK30*'Conti per prodotto'!$I$10</f>
        <v/>
      </c>
      <c r="AN30" s="19">
        <f>AK30*'Conti per prodotto'!$O$10</f>
        <v/>
      </c>
      <c r="AO30" s="19">
        <f>'Costi B2Brand'!$D$11</f>
        <v/>
      </c>
      <c r="AP30" s="19">
        <f>D$8</f>
        <v/>
      </c>
      <c r="AQ30" s="20">
        <f>AM30-AO30-AP30</f>
        <v/>
      </c>
      <c r="AR30" s="19">
        <f>AR29+AQ30</f>
        <v/>
      </c>
      <c r="AS30" s="19">
        <f>('Costi B2Brand'!$D$10-'Costi B2Brand'!$D$11)</f>
        <v/>
      </c>
      <c r="AT30" s="19">
        <f>AQ30-AS30</f>
        <v/>
      </c>
      <c r="AU30" s="19">
        <f>AU29+AT30</f>
        <v/>
      </c>
      <c r="AV30" s="21">
        <f>IF(AQ30&gt;=Ipotesi!$B$14,AI30,"")</f>
        <v/>
      </c>
      <c r="AW30" s="21">
        <f>IF(AND(AI30&gt;1,AR30&gt;=0),AI30,"")</f>
        <v/>
      </c>
      <c r="AX30" s="21">
        <f>IF(AND(AI30&gt;1,AU30&gt;=0),AI30,"")</f>
        <v/>
      </c>
    </row>
    <row r="31">
      <c r="A31" s="4" t="n">
        <v>14</v>
      </c>
      <c r="B31" s="4" t="n">
        <v>2</v>
      </c>
      <c r="C31" s="4">
        <f>ROUND(B$4*Stagionalità!$B$5,0)</f>
        <v/>
      </c>
      <c r="D31" s="19">
        <f>C31*'Conti per prodotto'!$B$10</f>
        <v/>
      </c>
      <c r="E31" s="19">
        <f>C31*'Conti per prodotto'!$I$10</f>
        <v/>
      </c>
      <c r="F31" s="19">
        <f>C31*'Conti per prodotto'!$O$10</f>
        <v/>
      </c>
      <c r="G31" s="19">
        <f>'Costi B2Brand'!$D$11</f>
        <v/>
      </c>
      <c r="H31" s="19">
        <f>B$8</f>
        <v/>
      </c>
      <c r="I31" s="20">
        <f>E31-G31-H31</f>
        <v/>
      </c>
      <c r="J31" s="19">
        <f>J30+I31</f>
        <v/>
      </c>
      <c r="K31" s="19">
        <f>('Costi B2Brand'!$D$10-'Costi B2Brand'!$D$11)</f>
        <v/>
      </c>
      <c r="L31" s="19">
        <f>I31-K31</f>
        <v/>
      </c>
      <c r="M31" s="19">
        <f>M30+L31</f>
        <v/>
      </c>
      <c r="N31" s="21">
        <f>IF(I31&gt;=Ipotesi!$B$14,A31,"")</f>
        <v/>
      </c>
      <c r="O31" s="21">
        <f>IF(AND(A31&gt;1,J31&gt;=0),A31,"")</f>
        <v/>
      </c>
      <c r="P31" s="21">
        <f>IF(AND(A31&gt;1,M31&gt;=0),A31,"")</f>
        <v/>
      </c>
      <c r="R31" s="4" t="n">
        <v>14</v>
      </c>
      <c r="S31" s="4" t="n">
        <v>2</v>
      </c>
      <c r="T31" s="4">
        <f>ROUND(C$4*Stagionalità!$B$5,0)</f>
        <v/>
      </c>
      <c r="U31" s="19">
        <f>T31*'Conti per prodotto'!$B$10</f>
        <v/>
      </c>
      <c r="V31" s="19">
        <f>T31*'Conti per prodotto'!$I$10</f>
        <v/>
      </c>
      <c r="W31" s="19">
        <f>T31*'Conti per prodotto'!$O$10</f>
        <v/>
      </c>
      <c r="X31" s="19">
        <f>'Costi B2Brand'!$D$11</f>
        <v/>
      </c>
      <c r="Y31" s="19">
        <f>C$8</f>
        <v/>
      </c>
      <c r="Z31" s="20">
        <f>V31-X31-Y31</f>
        <v/>
      </c>
      <c r="AA31" s="19">
        <f>AA30+Z31</f>
        <v/>
      </c>
      <c r="AB31" s="19">
        <f>('Costi B2Brand'!$D$10-'Costi B2Brand'!$D$11)</f>
        <v/>
      </c>
      <c r="AC31" s="19">
        <f>Z31-AB31</f>
        <v/>
      </c>
      <c r="AD31" s="19">
        <f>AD30+AC31</f>
        <v/>
      </c>
      <c r="AE31" s="21">
        <f>IF(Z31&gt;=Ipotesi!$B$14,R31,"")</f>
        <v/>
      </c>
      <c r="AF31" s="21">
        <f>IF(AND(R31&gt;1,AA31&gt;=0),R31,"")</f>
        <v/>
      </c>
      <c r="AG31" s="21">
        <f>IF(AND(R31&gt;1,AD31&gt;=0),R31,"")</f>
        <v/>
      </c>
      <c r="AI31" s="4" t="n">
        <v>14</v>
      </c>
      <c r="AJ31" s="4" t="n">
        <v>2</v>
      </c>
      <c r="AK31" s="4">
        <f>ROUND(D$4*Stagionalità!$B$5,0)</f>
        <v/>
      </c>
      <c r="AL31" s="19">
        <f>AK31*'Conti per prodotto'!$B$10</f>
        <v/>
      </c>
      <c r="AM31" s="19">
        <f>AK31*'Conti per prodotto'!$I$10</f>
        <v/>
      </c>
      <c r="AN31" s="19">
        <f>AK31*'Conti per prodotto'!$O$10</f>
        <v/>
      </c>
      <c r="AO31" s="19">
        <f>'Costi B2Brand'!$D$11</f>
        <v/>
      </c>
      <c r="AP31" s="19">
        <f>D$8</f>
        <v/>
      </c>
      <c r="AQ31" s="20">
        <f>AM31-AO31-AP31</f>
        <v/>
      </c>
      <c r="AR31" s="19">
        <f>AR30+AQ31</f>
        <v/>
      </c>
      <c r="AS31" s="19">
        <f>('Costi B2Brand'!$D$10-'Costi B2Brand'!$D$11)</f>
        <v/>
      </c>
      <c r="AT31" s="19">
        <f>AQ31-AS31</f>
        <v/>
      </c>
      <c r="AU31" s="19">
        <f>AU30+AT31</f>
        <v/>
      </c>
      <c r="AV31" s="21">
        <f>IF(AQ31&gt;=Ipotesi!$B$14,AI31,"")</f>
        <v/>
      </c>
      <c r="AW31" s="21">
        <f>IF(AND(AI31&gt;1,AR31&gt;=0),AI31,"")</f>
        <v/>
      </c>
      <c r="AX31" s="21">
        <f>IF(AND(AI31&gt;1,AU31&gt;=0),AI31,"")</f>
        <v/>
      </c>
    </row>
    <row r="32">
      <c r="A32" s="4" t="n">
        <v>15</v>
      </c>
      <c r="B32" s="4" t="n">
        <v>2</v>
      </c>
      <c r="C32" s="4">
        <f>ROUND(B$4*Stagionalità!$B$6,0)</f>
        <v/>
      </c>
      <c r="D32" s="19">
        <f>C32*'Conti per prodotto'!$B$10</f>
        <v/>
      </c>
      <c r="E32" s="19">
        <f>C32*'Conti per prodotto'!$I$10</f>
        <v/>
      </c>
      <c r="F32" s="19">
        <f>C32*'Conti per prodotto'!$O$10</f>
        <v/>
      </c>
      <c r="G32" s="19">
        <f>'Costi B2Brand'!$D$11</f>
        <v/>
      </c>
      <c r="H32" s="19">
        <f>B$8</f>
        <v/>
      </c>
      <c r="I32" s="20">
        <f>E32-G32-H32</f>
        <v/>
      </c>
      <c r="J32" s="19">
        <f>J31+I32</f>
        <v/>
      </c>
      <c r="K32" s="19">
        <f>('Costi B2Brand'!$D$10-'Costi B2Brand'!$D$11)</f>
        <v/>
      </c>
      <c r="L32" s="19">
        <f>I32-K32</f>
        <v/>
      </c>
      <c r="M32" s="19">
        <f>M31+L32</f>
        <v/>
      </c>
      <c r="N32" s="21">
        <f>IF(I32&gt;=Ipotesi!$B$14,A32,"")</f>
        <v/>
      </c>
      <c r="O32" s="21">
        <f>IF(AND(A32&gt;1,J32&gt;=0),A32,"")</f>
        <v/>
      </c>
      <c r="P32" s="21">
        <f>IF(AND(A32&gt;1,M32&gt;=0),A32,"")</f>
        <v/>
      </c>
      <c r="R32" s="4" t="n">
        <v>15</v>
      </c>
      <c r="S32" s="4" t="n">
        <v>2</v>
      </c>
      <c r="T32" s="4">
        <f>ROUND(C$4*Stagionalità!$B$6,0)</f>
        <v/>
      </c>
      <c r="U32" s="19">
        <f>T32*'Conti per prodotto'!$B$10</f>
        <v/>
      </c>
      <c r="V32" s="19">
        <f>T32*'Conti per prodotto'!$I$10</f>
        <v/>
      </c>
      <c r="W32" s="19">
        <f>T32*'Conti per prodotto'!$O$10</f>
        <v/>
      </c>
      <c r="X32" s="19">
        <f>'Costi B2Brand'!$D$11</f>
        <v/>
      </c>
      <c r="Y32" s="19">
        <f>C$8</f>
        <v/>
      </c>
      <c r="Z32" s="20">
        <f>V32-X32-Y32</f>
        <v/>
      </c>
      <c r="AA32" s="19">
        <f>AA31+Z32</f>
        <v/>
      </c>
      <c r="AB32" s="19">
        <f>('Costi B2Brand'!$D$10-'Costi B2Brand'!$D$11)</f>
        <v/>
      </c>
      <c r="AC32" s="19">
        <f>Z32-AB32</f>
        <v/>
      </c>
      <c r="AD32" s="19">
        <f>AD31+AC32</f>
        <v/>
      </c>
      <c r="AE32" s="21">
        <f>IF(Z32&gt;=Ipotesi!$B$14,R32,"")</f>
        <v/>
      </c>
      <c r="AF32" s="21">
        <f>IF(AND(R32&gt;1,AA32&gt;=0),R32,"")</f>
        <v/>
      </c>
      <c r="AG32" s="21">
        <f>IF(AND(R32&gt;1,AD32&gt;=0),R32,"")</f>
        <v/>
      </c>
      <c r="AI32" s="4" t="n">
        <v>15</v>
      </c>
      <c r="AJ32" s="4" t="n">
        <v>2</v>
      </c>
      <c r="AK32" s="4">
        <f>ROUND(D$4*Stagionalità!$B$6,0)</f>
        <v/>
      </c>
      <c r="AL32" s="19">
        <f>AK32*'Conti per prodotto'!$B$10</f>
        <v/>
      </c>
      <c r="AM32" s="19">
        <f>AK32*'Conti per prodotto'!$I$10</f>
        <v/>
      </c>
      <c r="AN32" s="19">
        <f>AK32*'Conti per prodotto'!$O$10</f>
        <v/>
      </c>
      <c r="AO32" s="19">
        <f>'Costi B2Brand'!$D$11</f>
        <v/>
      </c>
      <c r="AP32" s="19">
        <f>D$8</f>
        <v/>
      </c>
      <c r="AQ32" s="20">
        <f>AM32-AO32-AP32</f>
        <v/>
      </c>
      <c r="AR32" s="19">
        <f>AR31+AQ32</f>
        <v/>
      </c>
      <c r="AS32" s="19">
        <f>('Costi B2Brand'!$D$10-'Costi B2Brand'!$D$11)</f>
        <v/>
      </c>
      <c r="AT32" s="19">
        <f>AQ32-AS32</f>
        <v/>
      </c>
      <c r="AU32" s="19">
        <f>AU31+AT32</f>
        <v/>
      </c>
      <c r="AV32" s="21">
        <f>IF(AQ32&gt;=Ipotesi!$B$14,AI32,"")</f>
        <v/>
      </c>
      <c r="AW32" s="21">
        <f>IF(AND(AI32&gt;1,AR32&gt;=0),AI32,"")</f>
        <v/>
      </c>
      <c r="AX32" s="21">
        <f>IF(AND(AI32&gt;1,AU32&gt;=0),AI32,"")</f>
        <v/>
      </c>
    </row>
    <row r="33">
      <c r="A33" s="4" t="n">
        <v>16</v>
      </c>
      <c r="B33" s="4" t="n">
        <v>2</v>
      </c>
      <c r="C33" s="4">
        <f>ROUND(B$4*Stagionalità!$B$7,0)</f>
        <v/>
      </c>
      <c r="D33" s="19">
        <f>C33*'Conti per prodotto'!$B$10</f>
        <v/>
      </c>
      <c r="E33" s="19">
        <f>C33*'Conti per prodotto'!$I$10</f>
        <v/>
      </c>
      <c r="F33" s="19">
        <f>C33*'Conti per prodotto'!$O$10</f>
        <v/>
      </c>
      <c r="G33" s="19">
        <f>'Costi B2Brand'!$D$11</f>
        <v/>
      </c>
      <c r="H33" s="19">
        <f>B$8</f>
        <v/>
      </c>
      <c r="I33" s="20">
        <f>E33-G33-H33</f>
        <v/>
      </c>
      <c r="J33" s="19">
        <f>J32+I33</f>
        <v/>
      </c>
      <c r="K33" s="19">
        <f>('Costi B2Brand'!$D$10-'Costi B2Brand'!$D$11)</f>
        <v/>
      </c>
      <c r="L33" s="19">
        <f>I33-K33</f>
        <v/>
      </c>
      <c r="M33" s="19">
        <f>M32+L33</f>
        <v/>
      </c>
      <c r="N33" s="21">
        <f>IF(I33&gt;=Ipotesi!$B$14,A33,"")</f>
        <v/>
      </c>
      <c r="O33" s="21">
        <f>IF(AND(A33&gt;1,J33&gt;=0),A33,"")</f>
        <v/>
      </c>
      <c r="P33" s="21">
        <f>IF(AND(A33&gt;1,M33&gt;=0),A33,"")</f>
        <v/>
      </c>
      <c r="R33" s="4" t="n">
        <v>16</v>
      </c>
      <c r="S33" s="4" t="n">
        <v>2</v>
      </c>
      <c r="T33" s="4">
        <f>ROUND(C$4*Stagionalità!$B$7,0)</f>
        <v/>
      </c>
      <c r="U33" s="19">
        <f>T33*'Conti per prodotto'!$B$10</f>
        <v/>
      </c>
      <c r="V33" s="19">
        <f>T33*'Conti per prodotto'!$I$10</f>
        <v/>
      </c>
      <c r="W33" s="19">
        <f>T33*'Conti per prodotto'!$O$10</f>
        <v/>
      </c>
      <c r="X33" s="19">
        <f>'Costi B2Brand'!$D$11</f>
        <v/>
      </c>
      <c r="Y33" s="19">
        <f>C$8</f>
        <v/>
      </c>
      <c r="Z33" s="20">
        <f>V33-X33-Y33</f>
        <v/>
      </c>
      <c r="AA33" s="19">
        <f>AA32+Z33</f>
        <v/>
      </c>
      <c r="AB33" s="19">
        <f>('Costi B2Brand'!$D$10-'Costi B2Brand'!$D$11)</f>
        <v/>
      </c>
      <c r="AC33" s="19">
        <f>Z33-AB33</f>
        <v/>
      </c>
      <c r="AD33" s="19">
        <f>AD32+AC33</f>
        <v/>
      </c>
      <c r="AE33" s="21">
        <f>IF(Z33&gt;=Ipotesi!$B$14,R33,"")</f>
        <v/>
      </c>
      <c r="AF33" s="21">
        <f>IF(AND(R33&gt;1,AA33&gt;=0),R33,"")</f>
        <v/>
      </c>
      <c r="AG33" s="21">
        <f>IF(AND(R33&gt;1,AD33&gt;=0),R33,"")</f>
        <v/>
      </c>
      <c r="AI33" s="4" t="n">
        <v>16</v>
      </c>
      <c r="AJ33" s="4" t="n">
        <v>2</v>
      </c>
      <c r="AK33" s="4">
        <f>ROUND(D$4*Stagionalità!$B$7,0)</f>
        <v/>
      </c>
      <c r="AL33" s="19">
        <f>AK33*'Conti per prodotto'!$B$10</f>
        <v/>
      </c>
      <c r="AM33" s="19">
        <f>AK33*'Conti per prodotto'!$I$10</f>
        <v/>
      </c>
      <c r="AN33" s="19">
        <f>AK33*'Conti per prodotto'!$O$10</f>
        <v/>
      </c>
      <c r="AO33" s="19">
        <f>'Costi B2Brand'!$D$11</f>
        <v/>
      </c>
      <c r="AP33" s="19">
        <f>D$8</f>
        <v/>
      </c>
      <c r="AQ33" s="20">
        <f>AM33-AO33-AP33</f>
        <v/>
      </c>
      <c r="AR33" s="19">
        <f>AR32+AQ33</f>
        <v/>
      </c>
      <c r="AS33" s="19">
        <f>('Costi B2Brand'!$D$10-'Costi B2Brand'!$D$11)</f>
        <v/>
      </c>
      <c r="AT33" s="19">
        <f>AQ33-AS33</f>
        <v/>
      </c>
      <c r="AU33" s="19">
        <f>AU32+AT33</f>
        <v/>
      </c>
      <c r="AV33" s="21">
        <f>IF(AQ33&gt;=Ipotesi!$B$14,AI33,"")</f>
        <v/>
      </c>
      <c r="AW33" s="21">
        <f>IF(AND(AI33&gt;1,AR33&gt;=0),AI33,"")</f>
        <v/>
      </c>
      <c r="AX33" s="21">
        <f>IF(AND(AI33&gt;1,AU33&gt;=0),AI33,"")</f>
        <v/>
      </c>
    </row>
    <row r="34">
      <c r="A34" s="4" t="n">
        <v>17</v>
      </c>
      <c r="B34" s="4" t="n">
        <v>2</v>
      </c>
      <c r="C34" s="4">
        <f>ROUND(B$4*Stagionalità!$B$8,0)</f>
        <v/>
      </c>
      <c r="D34" s="19">
        <f>C34*'Conti per prodotto'!$B$10</f>
        <v/>
      </c>
      <c r="E34" s="19">
        <f>C34*'Conti per prodotto'!$I$10</f>
        <v/>
      </c>
      <c r="F34" s="19">
        <f>C34*'Conti per prodotto'!$O$10</f>
        <v/>
      </c>
      <c r="G34" s="19">
        <f>'Costi B2Brand'!$D$11</f>
        <v/>
      </c>
      <c r="H34" s="19">
        <f>B$8</f>
        <v/>
      </c>
      <c r="I34" s="20">
        <f>E34-G34-H34</f>
        <v/>
      </c>
      <c r="J34" s="19">
        <f>J33+I34</f>
        <v/>
      </c>
      <c r="K34" s="19">
        <f>('Costi B2Brand'!$D$10-'Costi B2Brand'!$D$11)</f>
        <v/>
      </c>
      <c r="L34" s="19">
        <f>I34-K34</f>
        <v/>
      </c>
      <c r="M34" s="19">
        <f>M33+L34</f>
        <v/>
      </c>
      <c r="N34" s="21">
        <f>IF(I34&gt;=Ipotesi!$B$14,A34,"")</f>
        <v/>
      </c>
      <c r="O34" s="21">
        <f>IF(AND(A34&gt;1,J34&gt;=0),A34,"")</f>
        <v/>
      </c>
      <c r="P34" s="21">
        <f>IF(AND(A34&gt;1,M34&gt;=0),A34,"")</f>
        <v/>
      </c>
      <c r="R34" s="4" t="n">
        <v>17</v>
      </c>
      <c r="S34" s="4" t="n">
        <v>2</v>
      </c>
      <c r="T34" s="4">
        <f>ROUND(C$4*Stagionalità!$B$8,0)</f>
        <v/>
      </c>
      <c r="U34" s="19">
        <f>T34*'Conti per prodotto'!$B$10</f>
        <v/>
      </c>
      <c r="V34" s="19">
        <f>T34*'Conti per prodotto'!$I$10</f>
        <v/>
      </c>
      <c r="W34" s="19">
        <f>T34*'Conti per prodotto'!$O$10</f>
        <v/>
      </c>
      <c r="X34" s="19">
        <f>'Costi B2Brand'!$D$11</f>
        <v/>
      </c>
      <c r="Y34" s="19">
        <f>C$8</f>
        <v/>
      </c>
      <c r="Z34" s="20">
        <f>V34-X34-Y34</f>
        <v/>
      </c>
      <c r="AA34" s="19">
        <f>AA33+Z34</f>
        <v/>
      </c>
      <c r="AB34" s="19">
        <f>('Costi B2Brand'!$D$10-'Costi B2Brand'!$D$11)</f>
        <v/>
      </c>
      <c r="AC34" s="19">
        <f>Z34-AB34</f>
        <v/>
      </c>
      <c r="AD34" s="19">
        <f>AD33+AC34</f>
        <v/>
      </c>
      <c r="AE34" s="21">
        <f>IF(Z34&gt;=Ipotesi!$B$14,R34,"")</f>
        <v/>
      </c>
      <c r="AF34" s="21">
        <f>IF(AND(R34&gt;1,AA34&gt;=0),R34,"")</f>
        <v/>
      </c>
      <c r="AG34" s="21">
        <f>IF(AND(R34&gt;1,AD34&gt;=0),R34,"")</f>
        <v/>
      </c>
      <c r="AI34" s="4" t="n">
        <v>17</v>
      </c>
      <c r="AJ34" s="4" t="n">
        <v>2</v>
      </c>
      <c r="AK34" s="4">
        <f>ROUND(D$4*Stagionalità!$B$8,0)</f>
        <v/>
      </c>
      <c r="AL34" s="19">
        <f>AK34*'Conti per prodotto'!$B$10</f>
        <v/>
      </c>
      <c r="AM34" s="19">
        <f>AK34*'Conti per prodotto'!$I$10</f>
        <v/>
      </c>
      <c r="AN34" s="19">
        <f>AK34*'Conti per prodotto'!$O$10</f>
        <v/>
      </c>
      <c r="AO34" s="19">
        <f>'Costi B2Brand'!$D$11</f>
        <v/>
      </c>
      <c r="AP34" s="19">
        <f>D$8</f>
        <v/>
      </c>
      <c r="AQ34" s="20">
        <f>AM34-AO34-AP34</f>
        <v/>
      </c>
      <c r="AR34" s="19">
        <f>AR33+AQ34</f>
        <v/>
      </c>
      <c r="AS34" s="19">
        <f>('Costi B2Brand'!$D$10-'Costi B2Brand'!$D$11)</f>
        <v/>
      </c>
      <c r="AT34" s="19">
        <f>AQ34-AS34</f>
        <v/>
      </c>
      <c r="AU34" s="19">
        <f>AU33+AT34</f>
        <v/>
      </c>
      <c r="AV34" s="21">
        <f>IF(AQ34&gt;=Ipotesi!$B$14,AI34,"")</f>
        <v/>
      </c>
      <c r="AW34" s="21">
        <f>IF(AND(AI34&gt;1,AR34&gt;=0),AI34,"")</f>
        <v/>
      </c>
      <c r="AX34" s="21">
        <f>IF(AND(AI34&gt;1,AU34&gt;=0),AI34,"")</f>
        <v/>
      </c>
    </row>
    <row r="35">
      <c r="A35" s="4" t="n">
        <v>18</v>
      </c>
      <c r="B35" s="4" t="n">
        <v>2</v>
      </c>
      <c r="C35" s="4">
        <f>ROUND(B$4*Stagionalità!$B$9,0)</f>
        <v/>
      </c>
      <c r="D35" s="19">
        <f>C35*'Conti per prodotto'!$B$10</f>
        <v/>
      </c>
      <c r="E35" s="19">
        <f>C35*'Conti per prodotto'!$I$10</f>
        <v/>
      </c>
      <c r="F35" s="19">
        <f>C35*'Conti per prodotto'!$O$10</f>
        <v/>
      </c>
      <c r="G35" s="19">
        <f>'Costi B2Brand'!$D$11</f>
        <v/>
      </c>
      <c r="H35" s="19">
        <f>B$8</f>
        <v/>
      </c>
      <c r="I35" s="20">
        <f>E35-G35-H35</f>
        <v/>
      </c>
      <c r="J35" s="19">
        <f>J34+I35</f>
        <v/>
      </c>
      <c r="K35" s="19">
        <f>('Costi B2Brand'!$D$10-'Costi B2Brand'!$D$11)</f>
        <v/>
      </c>
      <c r="L35" s="19">
        <f>I35-K35</f>
        <v/>
      </c>
      <c r="M35" s="19">
        <f>M34+L35</f>
        <v/>
      </c>
      <c r="N35" s="21">
        <f>IF(I35&gt;=Ipotesi!$B$14,A35,"")</f>
        <v/>
      </c>
      <c r="O35" s="21">
        <f>IF(AND(A35&gt;1,J35&gt;=0),A35,"")</f>
        <v/>
      </c>
      <c r="P35" s="21">
        <f>IF(AND(A35&gt;1,M35&gt;=0),A35,"")</f>
        <v/>
      </c>
      <c r="R35" s="4" t="n">
        <v>18</v>
      </c>
      <c r="S35" s="4" t="n">
        <v>2</v>
      </c>
      <c r="T35" s="4">
        <f>ROUND(C$4*Stagionalità!$B$9,0)</f>
        <v/>
      </c>
      <c r="U35" s="19">
        <f>T35*'Conti per prodotto'!$B$10</f>
        <v/>
      </c>
      <c r="V35" s="19">
        <f>T35*'Conti per prodotto'!$I$10</f>
        <v/>
      </c>
      <c r="W35" s="19">
        <f>T35*'Conti per prodotto'!$O$10</f>
        <v/>
      </c>
      <c r="X35" s="19">
        <f>'Costi B2Brand'!$D$11</f>
        <v/>
      </c>
      <c r="Y35" s="19">
        <f>C$8</f>
        <v/>
      </c>
      <c r="Z35" s="20">
        <f>V35-X35-Y35</f>
        <v/>
      </c>
      <c r="AA35" s="19">
        <f>AA34+Z35</f>
        <v/>
      </c>
      <c r="AB35" s="19">
        <f>('Costi B2Brand'!$D$10-'Costi B2Brand'!$D$11)</f>
        <v/>
      </c>
      <c r="AC35" s="19">
        <f>Z35-AB35</f>
        <v/>
      </c>
      <c r="AD35" s="19">
        <f>AD34+AC35</f>
        <v/>
      </c>
      <c r="AE35" s="21">
        <f>IF(Z35&gt;=Ipotesi!$B$14,R35,"")</f>
        <v/>
      </c>
      <c r="AF35" s="21">
        <f>IF(AND(R35&gt;1,AA35&gt;=0),R35,"")</f>
        <v/>
      </c>
      <c r="AG35" s="21">
        <f>IF(AND(R35&gt;1,AD35&gt;=0),R35,"")</f>
        <v/>
      </c>
      <c r="AI35" s="4" t="n">
        <v>18</v>
      </c>
      <c r="AJ35" s="4" t="n">
        <v>2</v>
      </c>
      <c r="AK35" s="4">
        <f>ROUND(D$4*Stagionalità!$B$9,0)</f>
        <v/>
      </c>
      <c r="AL35" s="19">
        <f>AK35*'Conti per prodotto'!$B$10</f>
        <v/>
      </c>
      <c r="AM35" s="19">
        <f>AK35*'Conti per prodotto'!$I$10</f>
        <v/>
      </c>
      <c r="AN35" s="19">
        <f>AK35*'Conti per prodotto'!$O$10</f>
        <v/>
      </c>
      <c r="AO35" s="19">
        <f>'Costi B2Brand'!$D$11</f>
        <v/>
      </c>
      <c r="AP35" s="19">
        <f>D$8</f>
        <v/>
      </c>
      <c r="AQ35" s="20">
        <f>AM35-AO35-AP35</f>
        <v/>
      </c>
      <c r="AR35" s="19">
        <f>AR34+AQ35</f>
        <v/>
      </c>
      <c r="AS35" s="19">
        <f>('Costi B2Brand'!$D$10-'Costi B2Brand'!$D$11)</f>
        <v/>
      </c>
      <c r="AT35" s="19">
        <f>AQ35-AS35</f>
        <v/>
      </c>
      <c r="AU35" s="19">
        <f>AU34+AT35</f>
        <v/>
      </c>
      <c r="AV35" s="21">
        <f>IF(AQ35&gt;=Ipotesi!$B$14,AI35,"")</f>
        <v/>
      </c>
      <c r="AW35" s="21">
        <f>IF(AND(AI35&gt;1,AR35&gt;=0),AI35,"")</f>
        <v/>
      </c>
      <c r="AX35" s="21">
        <f>IF(AND(AI35&gt;1,AU35&gt;=0),AI35,"")</f>
        <v/>
      </c>
    </row>
    <row r="36">
      <c r="A36" s="4" t="n">
        <v>19</v>
      </c>
      <c r="B36" s="4" t="n">
        <v>2</v>
      </c>
      <c r="C36" s="4">
        <f>ROUND(B$4*Stagionalità!$B$10,0)</f>
        <v/>
      </c>
      <c r="D36" s="19">
        <f>C36*'Conti per prodotto'!$B$10</f>
        <v/>
      </c>
      <c r="E36" s="19">
        <f>C36*'Conti per prodotto'!$I$10</f>
        <v/>
      </c>
      <c r="F36" s="19">
        <f>C36*'Conti per prodotto'!$O$10</f>
        <v/>
      </c>
      <c r="G36" s="19">
        <f>'Costi B2Brand'!$D$11</f>
        <v/>
      </c>
      <c r="H36" s="19">
        <f>B$8</f>
        <v/>
      </c>
      <c r="I36" s="20">
        <f>E36-G36-H36</f>
        <v/>
      </c>
      <c r="J36" s="19">
        <f>J35+I36</f>
        <v/>
      </c>
      <c r="K36" s="19">
        <f>('Costi B2Brand'!$D$10-'Costi B2Brand'!$D$11)</f>
        <v/>
      </c>
      <c r="L36" s="19">
        <f>I36-K36</f>
        <v/>
      </c>
      <c r="M36" s="19">
        <f>M35+L36</f>
        <v/>
      </c>
      <c r="N36" s="21">
        <f>IF(I36&gt;=Ipotesi!$B$14,A36,"")</f>
        <v/>
      </c>
      <c r="O36" s="21">
        <f>IF(AND(A36&gt;1,J36&gt;=0),A36,"")</f>
        <v/>
      </c>
      <c r="P36" s="21">
        <f>IF(AND(A36&gt;1,M36&gt;=0),A36,"")</f>
        <v/>
      </c>
      <c r="R36" s="4" t="n">
        <v>19</v>
      </c>
      <c r="S36" s="4" t="n">
        <v>2</v>
      </c>
      <c r="T36" s="4">
        <f>ROUND(C$4*Stagionalità!$B$10,0)</f>
        <v/>
      </c>
      <c r="U36" s="19">
        <f>T36*'Conti per prodotto'!$B$10</f>
        <v/>
      </c>
      <c r="V36" s="19">
        <f>T36*'Conti per prodotto'!$I$10</f>
        <v/>
      </c>
      <c r="W36" s="19">
        <f>T36*'Conti per prodotto'!$O$10</f>
        <v/>
      </c>
      <c r="X36" s="19">
        <f>'Costi B2Brand'!$D$11</f>
        <v/>
      </c>
      <c r="Y36" s="19">
        <f>C$8</f>
        <v/>
      </c>
      <c r="Z36" s="20">
        <f>V36-X36-Y36</f>
        <v/>
      </c>
      <c r="AA36" s="19">
        <f>AA35+Z36</f>
        <v/>
      </c>
      <c r="AB36" s="19">
        <f>('Costi B2Brand'!$D$10-'Costi B2Brand'!$D$11)</f>
        <v/>
      </c>
      <c r="AC36" s="19">
        <f>Z36-AB36</f>
        <v/>
      </c>
      <c r="AD36" s="19">
        <f>AD35+AC36</f>
        <v/>
      </c>
      <c r="AE36" s="21">
        <f>IF(Z36&gt;=Ipotesi!$B$14,R36,"")</f>
        <v/>
      </c>
      <c r="AF36" s="21">
        <f>IF(AND(R36&gt;1,AA36&gt;=0),R36,"")</f>
        <v/>
      </c>
      <c r="AG36" s="21">
        <f>IF(AND(R36&gt;1,AD36&gt;=0),R36,"")</f>
        <v/>
      </c>
      <c r="AI36" s="4" t="n">
        <v>19</v>
      </c>
      <c r="AJ36" s="4" t="n">
        <v>2</v>
      </c>
      <c r="AK36" s="4">
        <f>ROUND(D$4*Stagionalità!$B$10,0)</f>
        <v/>
      </c>
      <c r="AL36" s="19">
        <f>AK36*'Conti per prodotto'!$B$10</f>
        <v/>
      </c>
      <c r="AM36" s="19">
        <f>AK36*'Conti per prodotto'!$I$10</f>
        <v/>
      </c>
      <c r="AN36" s="19">
        <f>AK36*'Conti per prodotto'!$O$10</f>
        <v/>
      </c>
      <c r="AO36" s="19">
        <f>'Costi B2Brand'!$D$11</f>
        <v/>
      </c>
      <c r="AP36" s="19">
        <f>D$8</f>
        <v/>
      </c>
      <c r="AQ36" s="20">
        <f>AM36-AO36-AP36</f>
        <v/>
      </c>
      <c r="AR36" s="19">
        <f>AR35+AQ36</f>
        <v/>
      </c>
      <c r="AS36" s="19">
        <f>('Costi B2Brand'!$D$10-'Costi B2Brand'!$D$11)</f>
        <v/>
      </c>
      <c r="AT36" s="19">
        <f>AQ36-AS36</f>
        <v/>
      </c>
      <c r="AU36" s="19">
        <f>AU35+AT36</f>
        <v/>
      </c>
      <c r="AV36" s="21">
        <f>IF(AQ36&gt;=Ipotesi!$B$14,AI36,"")</f>
        <v/>
      </c>
      <c r="AW36" s="21">
        <f>IF(AND(AI36&gt;1,AR36&gt;=0),AI36,"")</f>
        <v/>
      </c>
      <c r="AX36" s="21">
        <f>IF(AND(AI36&gt;1,AU36&gt;=0),AI36,"")</f>
        <v/>
      </c>
    </row>
    <row r="37">
      <c r="A37" s="4" t="n">
        <v>20</v>
      </c>
      <c r="B37" s="4" t="n">
        <v>2</v>
      </c>
      <c r="C37" s="4">
        <f>ROUND(B$4*Stagionalità!$B$11,0)</f>
        <v/>
      </c>
      <c r="D37" s="19">
        <f>C37*'Conti per prodotto'!$B$10</f>
        <v/>
      </c>
      <c r="E37" s="19">
        <f>C37*'Conti per prodotto'!$I$10</f>
        <v/>
      </c>
      <c r="F37" s="19">
        <f>C37*'Conti per prodotto'!$O$10</f>
        <v/>
      </c>
      <c r="G37" s="19">
        <f>'Costi B2Brand'!$D$11</f>
        <v/>
      </c>
      <c r="H37" s="19">
        <f>B$8</f>
        <v/>
      </c>
      <c r="I37" s="20">
        <f>E37-G37-H37</f>
        <v/>
      </c>
      <c r="J37" s="19">
        <f>J36+I37</f>
        <v/>
      </c>
      <c r="K37" s="19">
        <f>('Costi B2Brand'!$D$10-'Costi B2Brand'!$D$11)</f>
        <v/>
      </c>
      <c r="L37" s="19">
        <f>I37-K37</f>
        <v/>
      </c>
      <c r="M37" s="19">
        <f>M36+L37</f>
        <v/>
      </c>
      <c r="N37" s="21">
        <f>IF(I37&gt;=Ipotesi!$B$14,A37,"")</f>
        <v/>
      </c>
      <c r="O37" s="21">
        <f>IF(AND(A37&gt;1,J37&gt;=0),A37,"")</f>
        <v/>
      </c>
      <c r="P37" s="21">
        <f>IF(AND(A37&gt;1,M37&gt;=0),A37,"")</f>
        <v/>
      </c>
      <c r="R37" s="4" t="n">
        <v>20</v>
      </c>
      <c r="S37" s="4" t="n">
        <v>2</v>
      </c>
      <c r="T37" s="4">
        <f>ROUND(C$4*Stagionalità!$B$11,0)</f>
        <v/>
      </c>
      <c r="U37" s="19">
        <f>T37*'Conti per prodotto'!$B$10</f>
        <v/>
      </c>
      <c r="V37" s="19">
        <f>T37*'Conti per prodotto'!$I$10</f>
        <v/>
      </c>
      <c r="W37" s="19">
        <f>T37*'Conti per prodotto'!$O$10</f>
        <v/>
      </c>
      <c r="X37" s="19">
        <f>'Costi B2Brand'!$D$11</f>
        <v/>
      </c>
      <c r="Y37" s="19">
        <f>C$8</f>
        <v/>
      </c>
      <c r="Z37" s="20">
        <f>V37-X37-Y37</f>
        <v/>
      </c>
      <c r="AA37" s="19">
        <f>AA36+Z37</f>
        <v/>
      </c>
      <c r="AB37" s="19">
        <f>('Costi B2Brand'!$D$10-'Costi B2Brand'!$D$11)</f>
        <v/>
      </c>
      <c r="AC37" s="19">
        <f>Z37-AB37</f>
        <v/>
      </c>
      <c r="AD37" s="19">
        <f>AD36+AC37</f>
        <v/>
      </c>
      <c r="AE37" s="21">
        <f>IF(Z37&gt;=Ipotesi!$B$14,R37,"")</f>
        <v/>
      </c>
      <c r="AF37" s="21">
        <f>IF(AND(R37&gt;1,AA37&gt;=0),R37,"")</f>
        <v/>
      </c>
      <c r="AG37" s="21">
        <f>IF(AND(R37&gt;1,AD37&gt;=0),R37,"")</f>
        <v/>
      </c>
      <c r="AI37" s="4" t="n">
        <v>20</v>
      </c>
      <c r="AJ37" s="4" t="n">
        <v>2</v>
      </c>
      <c r="AK37" s="4">
        <f>ROUND(D$4*Stagionalità!$B$11,0)</f>
        <v/>
      </c>
      <c r="AL37" s="19">
        <f>AK37*'Conti per prodotto'!$B$10</f>
        <v/>
      </c>
      <c r="AM37" s="19">
        <f>AK37*'Conti per prodotto'!$I$10</f>
        <v/>
      </c>
      <c r="AN37" s="19">
        <f>AK37*'Conti per prodotto'!$O$10</f>
        <v/>
      </c>
      <c r="AO37" s="19">
        <f>'Costi B2Brand'!$D$11</f>
        <v/>
      </c>
      <c r="AP37" s="19">
        <f>D$8</f>
        <v/>
      </c>
      <c r="AQ37" s="20">
        <f>AM37-AO37-AP37</f>
        <v/>
      </c>
      <c r="AR37" s="19">
        <f>AR36+AQ37</f>
        <v/>
      </c>
      <c r="AS37" s="19">
        <f>('Costi B2Brand'!$D$10-'Costi B2Brand'!$D$11)</f>
        <v/>
      </c>
      <c r="AT37" s="19">
        <f>AQ37-AS37</f>
        <v/>
      </c>
      <c r="AU37" s="19">
        <f>AU36+AT37</f>
        <v/>
      </c>
      <c r="AV37" s="21">
        <f>IF(AQ37&gt;=Ipotesi!$B$14,AI37,"")</f>
        <v/>
      </c>
      <c r="AW37" s="21">
        <f>IF(AND(AI37&gt;1,AR37&gt;=0),AI37,"")</f>
        <v/>
      </c>
      <c r="AX37" s="21">
        <f>IF(AND(AI37&gt;1,AU37&gt;=0),AI37,"")</f>
        <v/>
      </c>
    </row>
    <row r="38">
      <c r="A38" s="4" t="n">
        <v>21</v>
      </c>
      <c r="B38" s="4" t="n">
        <v>2</v>
      </c>
      <c r="C38" s="4">
        <f>ROUND(B$4*Stagionalità!$B$12,0)</f>
        <v/>
      </c>
      <c r="D38" s="19">
        <f>C38*'Conti per prodotto'!$B$10</f>
        <v/>
      </c>
      <c r="E38" s="19">
        <f>C38*'Conti per prodotto'!$I$10</f>
        <v/>
      </c>
      <c r="F38" s="19">
        <f>C38*'Conti per prodotto'!$O$10</f>
        <v/>
      </c>
      <c r="G38" s="19">
        <f>'Costi B2Brand'!$D$11</f>
        <v/>
      </c>
      <c r="H38" s="19">
        <f>B$8</f>
        <v/>
      </c>
      <c r="I38" s="20">
        <f>E38-G38-H38</f>
        <v/>
      </c>
      <c r="J38" s="19">
        <f>J37+I38</f>
        <v/>
      </c>
      <c r="K38" s="19">
        <f>('Costi B2Brand'!$D$10-'Costi B2Brand'!$D$11)</f>
        <v/>
      </c>
      <c r="L38" s="19">
        <f>I38-K38</f>
        <v/>
      </c>
      <c r="M38" s="19">
        <f>M37+L38</f>
        <v/>
      </c>
      <c r="N38" s="21">
        <f>IF(I38&gt;=Ipotesi!$B$14,A38,"")</f>
        <v/>
      </c>
      <c r="O38" s="21">
        <f>IF(AND(A38&gt;1,J38&gt;=0),A38,"")</f>
        <v/>
      </c>
      <c r="P38" s="21">
        <f>IF(AND(A38&gt;1,M38&gt;=0),A38,"")</f>
        <v/>
      </c>
      <c r="R38" s="4" t="n">
        <v>21</v>
      </c>
      <c r="S38" s="4" t="n">
        <v>2</v>
      </c>
      <c r="T38" s="4">
        <f>ROUND(C$4*Stagionalità!$B$12,0)</f>
        <v/>
      </c>
      <c r="U38" s="19">
        <f>T38*'Conti per prodotto'!$B$10</f>
        <v/>
      </c>
      <c r="V38" s="19">
        <f>T38*'Conti per prodotto'!$I$10</f>
        <v/>
      </c>
      <c r="W38" s="19">
        <f>T38*'Conti per prodotto'!$O$10</f>
        <v/>
      </c>
      <c r="X38" s="19">
        <f>'Costi B2Brand'!$D$11</f>
        <v/>
      </c>
      <c r="Y38" s="19">
        <f>C$8</f>
        <v/>
      </c>
      <c r="Z38" s="20">
        <f>V38-X38-Y38</f>
        <v/>
      </c>
      <c r="AA38" s="19">
        <f>AA37+Z38</f>
        <v/>
      </c>
      <c r="AB38" s="19">
        <f>('Costi B2Brand'!$D$10-'Costi B2Brand'!$D$11)</f>
        <v/>
      </c>
      <c r="AC38" s="19">
        <f>Z38-AB38</f>
        <v/>
      </c>
      <c r="AD38" s="19">
        <f>AD37+AC38</f>
        <v/>
      </c>
      <c r="AE38" s="21">
        <f>IF(Z38&gt;=Ipotesi!$B$14,R38,"")</f>
        <v/>
      </c>
      <c r="AF38" s="21">
        <f>IF(AND(R38&gt;1,AA38&gt;=0),R38,"")</f>
        <v/>
      </c>
      <c r="AG38" s="21">
        <f>IF(AND(R38&gt;1,AD38&gt;=0),R38,"")</f>
        <v/>
      </c>
      <c r="AI38" s="4" t="n">
        <v>21</v>
      </c>
      <c r="AJ38" s="4" t="n">
        <v>2</v>
      </c>
      <c r="AK38" s="4">
        <f>ROUND(D$4*Stagionalità!$B$12,0)</f>
        <v/>
      </c>
      <c r="AL38" s="19">
        <f>AK38*'Conti per prodotto'!$B$10</f>
        <v/>
      </c>
      <c r="AM38" s="19">
        <f>AK38*'Conti per prodotto'!$I$10</f>
        <v/>
      </c>
      <c r="AN38" s="19">
        <f>AK38*'Conti per prodotto'!$O$10</f>
        <v/>
      </c>
      <c r="AO38" s="19">
        <f>'Costi B2Brand'!$D$11</f>
        <v/>
      </c>
      <c r="AP38" s="19">
        <f>D$8</f>
        <v/>
      </c>
      <c r="AQ38" s="20">
        <f>AM38-AO38-AP38</f>
        <v/>
      </c>
      <c r="AR38" s="19">
        <f>AR37+AQ38</f>
        <v/>
      </c>
      <c r="AS38" s="19">
        <f>('Costi B2Brand'!$D$10-'Costi B2Brand'!$D$11)</f>
        <v/>
      </c>
      <c r="AT38" s="19">
        <f>AQ38-AS38</f>
        <v/>
      </c>
      <c r="AU38" s="19">
        <f>AU37+AT38</f>
        <v/>
      </c>
      <c r="AV38" s="21">
        <f>IF(AQ38&gt;=Ipotesi!$B$14,AI38,"")</f>
        <v/>
      </c>
      <c r="AW38" s="21">
        <f>IF(AND(AI38&gt;1,AR38&gt;=0),AI38,"")</f>
        <v/>
      </c>
      <c r="AX38" s="21">
        <f>IF(AND(AI38&gt;1,AU38&gt;=0),AI38,"")</f>
        <v/>
      </c>
    </row>
    <row r="39">
      <c r="A39" s="4" t="n">
        <v>22</v>
      </c>
      <c r="B39" s="4" t="n">
        <v>2</v>
      </c>
      <c r="C39" s="4">
        <f>ROUND(B$4*Stagionalità!$B$13,0)</f>
        <v/>
      </c>
      <c r="D39" s="19">
        <f>C39*'Conti per prodotto'!$B$10</f>
        <v/>
      </c>
      <c r="E39" s="19">
        <f>C39*'Conti per prodotto'!$I$10</f>
        <v/>
      </c>
      <c r="F39" s="19">
        <f>C39*'Conti per prodotto'!$O$10</f>
        <v/>
      </c>
      <c r="G39" s="19">
        <f>'Costi B2Brand'!$D$11</f>
        <v/>
      </c>
      <c r="H39" s="19">
        <f>B$8</f>
        <v/>
      </c>
      <c r="I39" s="20">
        <f>E39-G39-H39</f>
        <v/>
      </c>
      <c r="J39" s="19">
        <f>J38+I39</f>
        <v/>
      </c>
      <c r="K39" s="19">
        <f>('Costi B2Brand'!$D$10-'Costi B2Brand'!$D$11)</f>
        <v/>
      </c>
      <c r="L39" s="19">
        <f>I39-K39</f>
        <v/>
      </c>
      <c r="M39" s="19">
        <f>M38+L39</f>
        <v/>
      </c>
      <c r="N39" s="21">
        <f>IF(I39&gt;=Ipotesi!$B$14,A39,"")</f>
        <v/>
      </c>
      <c r="O39" s="21">
        <f>IF(AND(A39&gt;1,J39&gt;=0),A39,"")</f>
        <v/>
      </c>
      <c r="P39" s="21">
        <f>IF(AND(A39&gt;1,M39&gt;=0),A39,"")</f>
        <v/>
      </c>
      <c r="R39" s="4" t="n">
        <v>22</v>
      </c>
      <c r="S39" s="4" t="n">
        <v>2</v>
      </c>
      <c r="T39" s="4">
        <f>ROUND(C$4*Stagionalità!$B$13,0)</f>
        <v/>
      </c>
      <c r="U39" s="19">
        <f>T39*'Conti per prodotto'!$B$10</f>
        <v/>
      </c>
      <c r="V39" s="19">
        <f>T39*'Conti per prodotto'!$I$10</f>
        <v/>
      </c>
      <c r="W39" s="19">
        <f>T39*'Conti per prodotto'!$O$10</f>
        <v/>
      </c>
      <c r="X39" s="19">
        <f>'Costi B2Brand'!$D$11</f>
        <v/>
      </c>
      <c r="Y39" s="19">
        <f>C$8</f>
        <v/>
      </c>
      <c r="Z39" s="20">
        <f>V39-X39-Y39</f>
        <v/>
      </c>
      <c r="AA39" s="19">
        <f>AA38+Z39</f>
        <v/>
      </c>
      <c r="AB39" s="19">
        <f>('Costi B2Brand'!$D$10-'Costi B2Brand'!$D$11)</f>
        <v/>
      </c>
      <c r="AC39" s="19">
        <f>Z39-AB39</f>
        <v/>
      </c>
      <c r="AD39" s="19">
        <f>AD38+AC39</f>
        <v/>
      </c>
      <c r="AE39" s="21">
        <f>IF(Z39&gt;=Ipotesi!$B$14,R39,"")</f>
        <v/>
      </c>
      <c r="AF39" s="21">
        <f>IF(AND(R39&gt;1,AA39&gt;=0),R39,"")</f>
        <v/>
      </c>
      <c r="AG39" s="21">
        <f>IF(AND(R39&gt;1,AD39&gt;=0),R39,"")</f>
        <v/>
      </c>
      <c r="AI39" s="4" t="n">
        <v>22</v>
      </c>
      <c r="AJ39" s="4" t="n">
        <v>2</v>
      </c>
      <c r="AK39" s="4">
        <f>ROUND(D$4*Stagionalità!$B$13,0)</f>
        <v/>
      </c>
      <c r="AL39" s="19">
        <f>AK39*'Conti per prodotto'!$B$10</f>
        <v/>
      </c>
      <c r="AM39" s="19">
        <f>AK39*'Conti per prodotto'!$I$10</f>
        <v/>
      </c>
      <c r="AN39" s="19">
        <f>AK39*'Conti per prodotto'!$O$10</f>
        <v/>
      </c>
      <c r="AO39" s="19">
        <f>'Costi B2Brand'!$D$11</f>
        <v/>
      </c>
      <c r="AP39" s="19">
        <f>D$8</f>
        <v/>
      </c>
      <c r="AQ39" s="20">
        <f>AM39-AO39-AP39</f>
        <v/>
      </c>
      <c r="AR39" s="19">
        <f>AR38+AQ39</f>
        <v/>
      </c>
      <c r="AS39" s="19">
        <f>('Costi B2Brand'!$D$10-'Costi B2Brand'!$D$11)</f>
        <v/>
      </c>
      <c r="AT39" s="19">
        <f>AQ39-AS39</f>
        <v/>
      </c>
      <c r="AU39" s="19">
        <f>AU38+AT39</f>
        <v/>
      </c>
      <c r="AV39" s="21">
        <f>IF(AQ39&gt;=Ipotesi!$B$14,AI39,"")</f>
        <v/>
      </c>
      <c r="AW39" s="21">
        <f>IF(AND(AI39&gt;1,AR39&gt;=0),AI39,"")</f>
        <v/>
      </c>
      <c r="AX39" s="21">
        <f>IF(AND(AI39&gt;1,AU39&gt;=0),AI39,"")</f>
        <v/>
      </c>
    </row>
    <row r="40">
      <c r="A40" s="4" t="n">
        <v>23</v>
      </c>
      <c r="B40" s="4" t="n">
        <v>2</v>
      </c>
      <c r="C40" s="4">
        <f>ROUND(B$4*Stagionalità!$B$2,0)</f>
        <v/>
      </c>
      <c r="D40" s="19">
        <f>C40*'Conti per prodotto'!$B$10</f>
        <v/>
      </c>
      <c r="E40" s="19">
        <f>C40*'Conti per prodotto'!$I$10</f>
        <v/>
      </c>
      <c r="F40" s="19">
        <f>C40*'Conti per prodotto'!$O$10</f>
        <v/>
      </c>
      <c r="G40" s="19">
        <f>'Costi B2Brand'!$D$11</f>
        <v/>
      </c>
      <c r="H40" s="19">
        <f>B$8</f>
        <v/>
      </c>
      <c r="I40" s="20">
        <f>E40-G40-H40</f>
        <v/>
      </c>
      <c r="J40" s="19">
        <f>J39+I40</f>
        <v/>
      </c>
      <c r="K40" s="19">
        <f>('Costi B2Brand'!$D$10-'Costi B2Brand'!$D$11)</f>
        <v/>
      </c>
      <c r="L40" s="19">
        <f>I40-K40</f>
        <v/>
      </c>
      <c r="M40" s="19">
        <f>M39+L40</f>
        <v/>
      </c>
      <c r="N40" s="21">
        <f>IF(I40&gt;=Ipotesi!$B$14,A40,"")</f>
        <v/>
      </c>
      <c r="O40" s="21">
        <f>IF(AND(A40&gt;1,J40&gt;=0),A40,"")</f>
        <v/>
      </c>
      <c r="P40" s="21">
        <f>IF(AND(A40&gt;1,M40&gt;=0),A40,"")</f>
        <v/>
      </c>
      <c r="R40" s="4" t="n">
        <v>23</v>
      </c>
      <c r="S40" s="4" t="n">
        <v>2</v>
      </c>
      <c r="T40" s="4">
        <f>ROUND(C$4*Stagionalità!$B$2,0)</f>
        <v/>
      </c>
      <c r="U40" s="19">
        <f>T40*'Conti per prodotto'!$B$10</f>
        <v/>
      </c>
      <c r="V40" s="19">
        <f>T40*'Conti per prodotto'!$I$10</f>
        <v/>
      </c>
      <c r="W40" s="19">
        <f>T40*'Conti per prodotto'!$O$10</f>
        <v/>
      </c>
      <c r="X40" s="19">
        <f>'Costi B2Brand'!$D$11</f>
        <v/>
      </c>
      <c r="Y40" s="19">
        <f>C$8</f>
        <v/>
      </c>
      <c r="Z40" s="20">
        <f>V40-X40-Y40</f>
        <v/>
      </c>
      <c r="AA40" s="19">
        <f>AA39+Z40</f>
        <v/>
      </c>
      <c r="AB40" s="19">
        <f>('Costi B2Brand'!$D$10-'Costi B2Brand'!$D$11)</f>
        <v/>
      </c>
      <c r="AC40" s="19">
        <f>Z40-AB40</f>
        <v/>
      </c>
      <c r="AD40" s="19">
        <f>AD39+AC40</f>
        <v/>
      </c>
      <c r="AE40" s="21">
        <f>IF(Z40&gt;=Ipotesi!$B$14,R40,"")</f>
        <v/>
      </c>
      <c r="AF40" s="21">
        <f>IF(AND(R40&gt;1,AA40&gt;=0),R40,"")</f>
        <v/>
      </c>
      <c r="AG40" s="21">
        <f>IF(AND(R40&gt;1,AD40&gt;=0),R40,"")</f>
        <v/>
      </c>
      <c r="AI40" s="4" t="n">
        <v>23</v>
      </c>
      <c r="AJ40" s="4" t="n">
        <v>2</v>
      </c>
      <c r="AK40" s="4">
        <f>ROUND(D$4*Stagionalità!$B$2,0)</f>
        <v/>
      </c>
      <c r="AL40" s="19">
        <f>AK40*'Conti per prodotto'!$B$10</f>
        <v/>
      </c>
      <c r="AM40" s="19">
        <f>AK40*'Conti per prodotto'!$I$10</f>
        <v/>
      </c>
      <c r="AN40" s="19">
        <f>AK40*'Conti per prodotto'!$O$10</f>
        <v/>
      </c>
      <c r="AO40" s="19">
        <f>'Costi B2Brand'!$D$11</f>
        <v/>
      </c>
      <c r="AP40" s="19">
        <f>D$8</f>
        <v/>
      </c>
      <c r="AQ40" s="20">
        <f>AM40-AO40-AP40</f>
        <v/>
      </c>
      <c r="AR40" s="19">
        <f>AR39+AQ40</f>
        <v/>
      </c>
      <c r="AS40" s="19">
        <f>('Costi B2Brand'!$D$10-'Costi B2Brand'!$D$11)</f>
        <v/>
      </c>
      <c r="AT40" s="19">
        <f>AQ40-AS40</f>
        <v/>
      </c>
      <c r="AU40" s="19">
        <f>AU39+AT40</f>
        <v/>
      </c>
      <c r="AV40" s="21">
        <f>IF(AQ40&gt;=Ipotesi!$B$14,AI40,"")</f>
        <v/>
      </c>
      <c r="AW40" s="21">
        <f>IF(AND(AI40&gt;1,AR40&gt;=0),AI40,"")</f>
        <v/>
      </c>
      <c r="AX40" s="21">
        <f>IF(AND(AI40&gt;1,AU40&gt;=0),AI40,"")</f>
        <v/>
      </c>
    </row>
    <row r="41">
      <c r="A41" s="4" t="n">
        <v>24</v>
      </c>
      <c r="B41" s="4" t="n">
        <v>2</v>
      </c>
      <c r="C41" s="4">
        <f>ROUND(B$4*Stagionalità!$B$3,0)</f>
        <v/>
      </c>
      <c r="D41" s="19">
        <f>C41*'Conti per prodotto'!$B$10</f>
        <v/>
      </c>
      <c r="E41" s="19">
        <f>C41*'Conti per prodotto'!$I$10</f>
        <v/>
      </c>
      <c r="F41" s="19">
        <f>C41*'Conti per prodotto'!$O$10</f>
        <v/>
      </c>
      <c r="G41" s="19">
        <f>'Costi B2Brand'!$D$11</f>
        <v/>
      </c>
      <c r="H41" s="19">
        <f>B$8</f>
        <v/>
      </c>
      <c r="I41" s="20">
        <f>E41-G41-H41</f>
        <v/>
      </c>
      <c r="J41" s="19">
        <f>J40+I41</f>
        <v/>
      </c>
      <c r="K41" s="19">
        <f>('Costi B2Brand'!$D$10-'Costi B2Brand'!$D$11)</f>
        <v/>
      </c>
      <c r="L41" s="19">
        <f>I41-K41</f>
        <v/>
      </c>
      <c r="M41" s="19">
        <f>M40+L41</f>
        <v/>
      </c>
      <c r="N41" s="21">
        <f>IF(I41&gt;=Ipotesi!$B$14,A41,"")</f>
        <v/>
      </c>
      <c r="O41" s="21">
        <f>IF(AND(A41&gt;1,J41&gt;=0),A41,"")</f>
        <v/>
      </c>
      <c r="P41" s="21">
        <f>IF(AND(A41&gt;1,M41&gt;=0),A41,"")</f>
        <v/>
      </c>
      <c r="R41" s="4" t="n">
        <v>24</v>
      </c>
      <c r="S41" s="4" t="n">
        <v>2</v>
      </c>
      <c r="T41" s="4">
        <f>ROUND(C$4*Stagionalità!$B$3,0)</f>
        <v/>
      </c>
      <c r="U41" s="19">
        <f>T41*'Conti per prodotto'!$B$10</f>
        <v/>
      </c>
      <c r="V41" s="19">
        <f>T41*'Conti per prodotto'!$I$10</f>
        <v/>
      </c>
      <c r="W41" s="19">
        <f>T41*'Conti per prodotto'!$O$10</f>
        <v/>
      </c>
      <c r="X41" s="19">
        <f>'Costi B2Brand'!$D$11</f>
        <v/>
      </c>
      <c r="Y41" s="19">
        <f>C$8</f>
        <v/>
      </c>
      <c r="Z41" s="20">
        <f>V41-X41-Y41</f>
        <v/>
      </c>
      <c r="AA41" s="19">
        <f>AA40+Z41</f>
        <v/>
      </c>
      <c r="AB41" s="19">
        <f>('Costi B2Brand'!$D$10-'Costi B2Brand'!$D$11)</f>
        <v/>
      </c>
      <c r="AC41" s="19">
        <f>Z41-AB41</f>
        <v/>
      </c>
      <c r="AD41" s="19">
        <f>AD40+AC41</f>
        <v/>
      </c>
      <c r="AE41" s="21">
        <f>IF(Z41&gt;=Ipotesi!$B$14,R41,"")</f>
        <v/>
      </c>
      <c r="AF41" s="21">
        <f>IF(AND(R41&gt;1,AA41&gt;=0),R41,"")</f>
        <v/>
      </c>
      <c r="AG41" s="21">
        <f>IF(AND(R41&gt;1,AD41&gt;=0),R41,"")</f>
        <v/>
      </c>
      <c r="AI41" s="4" t="n">
        <v>24</v>
      </c>
      <c r="AJ41" s="4" t="n">
        <v>2</v>
      </c>
      <c r="AK41" s="4">
        <f>ROUND(D$4*Stagionalità!$B$3,0)</f>
        <v/>
      </c>
      <c r="AL41" s="19">
        <f>AK41*'Conti per prodotto'!$B$10</f>
        <v/>
      </c>
      <c r="AM41" s="19">
        <f>AK41*'Conti per prodotto'!$I$10</f>
        <v/>
      </c>
      <c r="AN41" s="19">
        <f>AK41*'Conti per prodotto'!$O$10</f>
        <v/>
      </c>
      <c r="AO41" s="19">
        <f>'Costi B2Brand'!$D$11</f>
        <v/>
      </c>
      <c r="AP41" s="19">
        <f>D$8</f>
        <v/>
      </c>
      <c r="AQ41" s="20">
        <f>AM41-AO41-AP41</f>
        <v/>
      </c>
      <c r="AR41" s="19">
        <f>AR40+AQ41</f>
        <v/>
      </c>
      <c r="AS41" s="19">
        <f>('Costi B2Brand'!$D$10-'Costi B2Brand'!$D$11)</f>
        <v/>
      </c>
      <c r="AT41" s="19">
        <f>AQ41-AS41</f>
        <v/>
      </c>
      <c r="AU41" s="19">
        <f>AU40+AT41</f>
        <v/>
      </c>
      <c r="AV41" s="21">
        <f>IF(AQ41&gt;=Ipotesi!$B$14,AI41,"")</f>
        <v/>
      </c>
      <c r="AW41" s="21">
        <f>IF(AND(AI41&gt;1,AR41&gt;=0),AI41,"")</f>
        <v/>
      </c>
      <c r="AX41" s="21">
        <f>IF(AND(AI41&gt;1,AU41&gt;=0),AI41,"")</f>
        <v/>
      </c>
    </row>
    <row r="42">
      <c r="A42" s="4" t="n">
        <v>25</v>
      </c>
      <c r="B42" s="4" t="n">
        <v>3</v>
      </c>
      <c r="C42" s="4">
        <f>ROUND(B$5*Stagionalità!$B$4,0)</f>
        <v/>
      </c>
      <c r="D42" s="19">
        <f>C42*'Conti per prodotto'!$B$10</f>
        <v/>
      </c>
      <c r="E42" s="19">
        <f>C42*'Conti per prodotto'!$I$10</f>
        <v/>
      </c>
      <c r="F42" s="19">
        <f>C42*'Conti per prodotto'!$O$10</f>
        <v/>
      </c>
      <c r="G42" s="19">
        <f>'Costi B2Brand'!$E$11</f>
        <v/>
      </c>
      <c r="H42" s="19">
        <f>B$9</f>
        <v/>
      </c>
      <c r="I42" s="20">
        <f>E42-G42-H42</f>
        <v/>
      </c>
      <c r="J42" s="19">
        <f>J41+I42</f>
        <v/>
      </c>
      <c r="K42" s="19">
        <f>('Costi B2Brand'!$E$10-'Costi B2Brand'!$E$11)</f>
        <v/>
      </c>
      <c r="L42" s="19">
        <f>I42-K42</f>
        <v/>
      </c>
      <c r="M42" s="19">
        <f>M41+L42</f>
        <v/>
      </c>
      <c r="N42" s="21">
        <f>IF(I42&gt;=Ipotesi!$B$14,A42,"")</f>
        <v/>
      </c>
      <c r="O42" s="21">
        <f>IF(AND(A42&gt;1,J42&gt;=0),A42,"")</f>
        <v/>
      </c>
      <c r="P42" s="21">
        <f>IF(AND(A42&gt;1,M42&gt;=0),A42,"")</f>
        <v/>
      </c>
      <c r="R42" s="4" t="n">
        <v>25</v>
      </c>
      <c r="S42" s="4" t="n">
        <v>3</v>
      </c>
      <c r="T42" s="4">
        <f>ROUND(C$5*Stagionalità!$B$4,0)</f>
        <v/>
      </c>
      <c r="U42" s="19">
        <f>T42*'Conti per prodotto'!$B$10</f>
        <v/>
      </c>
      <c r="V42" s="19">
        <f>T42*'Conti per prodotto'!$I$10</f>
        <v/>
      </c>
      <c r="W42" s="19">
        <f>T42*'Conti per prodotto'!$O$10</f>
        <v/>
      </c>
      <c r="X42" s="19">
        <f>'Costi B2Brand'!$E$11</f>
        <v/>
      </c>
      <c r="Y42" s="19">
        <f>C$9</f>
        <v/>
      </c>
      <c r="Z42" s="20">
        <f>V42-X42-Y42</f>
        <v/>
      </c>
      <c r="AA42" s="19">
        <f>AA41+Z42</f>
        <v/>
      </c>
      <c r="AB42" s="19">
        <f>('Costi B2Brand'!$E$10-'Costi B2Brand'!$E$11)</f>
        <v/>
      </c>
      <c r="AC42" s="19">
        <f>Z42-AB42</f>
        <v/>
      </c>
      <c r="AD42" s="19">
        <f>AD41+AC42</f>
        <v/>
      </c>
      <c r="AE42" s="21">
        <f>IF(Z42&gt;=Ipotesi!$B$14,R42,"")</f>
        <v/>
      </c>
      <c r="AF42" s="21">
        <f>IF(AND(R42&gt;1,AA42&gt;=0),R42,"")</f>
        <v/>
      </c>
      <c r="AG42" s="21">
        <f>IF(AND(R42&gt;1,AD42&gt;=0),R42,"")</f>
        <v/>
      </c>
      <c r="AI42" s="4" t="n">
        <v>25</v>
      </c>
      <c r="AJ42" s="4" t="n">
        <v>3</v>
      </c>
      <c r="AK42" s="4">
        <f>ROUND(D$5*Stagionalità!$B$4,0)</f>
        <v/>
      </c>
      <c r="AL42" s="19">
        <f>AK42*'Conti per prodotto'!$B$10</f>
        <v/>
      </c>
      <c r="AM42" s="19">
        <f>AK42*'Conti per prodotto'!$I$10</f>
        <v/>
      </c>
      <c r="AN42" s="19">
        <f>AK42*'Conti per prodotto'!$O$10</f>
        <v/>
      </c>
      <c r="AO42" s="19">
        <f>'Costi B2Brand'!$E$11</f>
        <v/>
      </c>
      <c r="AP42" s="19">
        <f>D$9</f>
        <v/>
      </c>
      <c r="AQ42" s="20">
        <f>AM42-AO42-AP42</f>
        <v/>
      </c>
      <c r="AR42" s="19">
        <f>AR41+AQ42</f>
        <v/>
      </c>
      <c r="AS42" s="19">
        <f>('Costi B2Brand'!$E$10-'Costi B2Brand'!$E$11)</f>
        <v/>
      </c>
      <c r="AT42" s="19">
        <f>AQ42-AS42</f>
        <v/>
      </c>
      <c r="AU42" s="19">
        <f>AU41+AT42</f>
        <v/>
      </c>
      <c r="AV42" s="21">
        <f>IF(AQ42&gt;=Ipotesi!$B$14,AI42,"")</f>
        <v/>
      </c>
      <c r="AW42" s="21">
        <f>IF(AND(AI42&gt;1,AR42&gt;=0),AI42,"")</f>
        <v/>
      </c>
      <c r="AX42" s="21">
        <f>IF(AND(AI42&gt;1,AU42&gt;=0),AI42,"")</f>
        <v/>
      </c>
    </row>
    <row r="43">
      <c r="A43" s="4" t="n">
        <v>26</v>
      </c>
      <c r="B43" s="4" t="n">
        <v>3</v>
      </c>
      <c r="C43" s="4">
        <f>ROUND(B$5*Stagionalità!$B$5,0)</f>
        <v/>
      </c>
      <c r="D43" s="19">
        <f>C43*'Conti per prodotto'!$B$10</f>
        <v/>
      </c>
      <c r="E43" s="19">
        <f>C43*'Conti per prodotto'!$I$10</f>
        <v/>
      </c>
      <c r="F43" s="19">
        <f>C43*'Conti per prodotto'!$O$10</f>
        <v/>
      </c>
      <c r="G43" s="19">
        <f>'Costi B2Brand'!$E$11</f>
        <v/>
      </c>
      <c r="H43" s="19">
        <f>B$9</f>
        <v/>
      </c>
      <c r="I43" s="20">
        <f>E43-G43-H43</f>
        <v/>
      </c>
      <c r="J43" s="19">
        <f>J42+I43</f>
        <v/>
      </c>
      <c r="K43" s="19">
        <f>('Costi B2Brand'!$E$10-'Costi B2Brand'!$E$11)</f>
        <v/>
      </c>
      <c r="L43" s="19">
        <f>I43-K43</f>
        <v/>
      </c>
      <c r="M43" s="19">
        <f>M42+L43</f>
        <v/>
      </c>
      <c r="N43" s="21">
        <f>IF(I43&gt;=Ipotesi!$B$14,A43,"")</f>
        <v/>
      </c>
      <c r="O43" s="21">
        <f>IF(AND(A43&gt;1,J43&gt;=0),A43,"")</f>
        <v/>
      </c>
      <c r="P43" s="21">
        <f>IF(AND(A43&gt;1,M43&gt;=0),A43,"")</f>
        <v/>
      </c>
      <c r="R43" s="4" t="n">
        <v>26</v>
      </c>
      <c r="S43" s="4" t="n">
        <v>3</v>
      </c>
      <c r="T43" s="4">
        <f>ROUND(C$5*Stagionalità!$B$5,0)</f>
        <v/>
      </c>
      <c r="U43" s="19">
        <f>T43*'Conti per prodotto'!$B$10</f>
        <v/>
      </c>
      <c r="V43" s="19">
        <f>T43*'Conti per prodotto'!$I$10</f>
        <v/>
      </c>
      <c r="W43" s="19">
        <f>T43*'Conti per prodotto'!$O$10</f>
        <v/>
      </c>
      <c r="X43" s="19">
        <f>'Costi B2Brand'!$E$11</f>
        <v/>
      </c>
      <c r="Y43" s="19">
        <f>C$9</f>
        <v/>
      </c>
      <c r="Z43" s="20">
        <f>V43-X43-Y43</f>
        <v/>
      </c>
      <c r="AA43" s="19">
        <f>AA42+Z43</f>
        <v/>
      </c>
      <c r="AB43" s="19">
        <f>('Costi B2Brand'!$E$10-'Costi B2Brand'!$E$11)</f>
        <v/>
      </c>
      <c r="AC43" s="19">
        <f>Z43-AB43</f>
        <v/>
      </c>
      <c r="AD43" s="19">
        <f>AD42+AC43</f>
        <v/>
      </c>
      <c r="AE43" s="21">
        <f>IF(Z43&gt;=Ipotesi!$B$14,R43,"")</f>
        <v/>
      </c>
      <c r="AF43" s="21">
        <f>IF(AND(R43&gt;1,AA43&gt;=0),R43,"")</f>
        <v/>
      </c>
      <c r="AG43" s="21">
        <f>IF(AND(R43&gt;1,AD43&gt;=0),R43,"")</f>
        <v/>
      </c>
      <c r="AI43" s="4" t="n">
        <v>26</v>
      </c>
      <c r="AJ43" s="4" t="n">
        <v>3</v>
      </c>
      <c r="AK43" s="4">
        <f>ROUND(D$5*Stagionalità!$B$5,0)</f>
        <v/>
      </c>
      <c r="AL43" s="19">
        <f>AK43*'Conti per prodotto'!$B$10</f>
        <v/>
      </c>
      <c r="AM43" s="19">
        <f>AK43*'Conti per prodotto'!$I$10</f>
        <v/>
      </c>
      <c r="AN43" s="19">
        <f>AK43*'Conti per prodotto'!$O$10</f>
        <v/>
      </c>
      <c r="AO43" s="19">
        <f>'Costi B2Brand'!$E$11</f>
        <v/>
      </c>
      <c r="AP43" s="19">
        <f>D$9</f>
        <v/>
      </c>
      <c r="AQ43" s="20">
        <f>AM43-AO43-AP43</f>
        <v/>
      </c>
      <c r="AR43" s="19">
        <f>AR42+AQ43</f>
        <v/>
      </c>
      <c r="AS43" s="19">
        <f>('Costi B2Brand'!$E$10-'Costi B2Brand'!$E$11)</f>
        <v/>
      </c>
      <c r="AT43" s="19">
        <f>AQ43-AS43</f>
        <v/>
      </c>
      <c r="AU43" s="19">
        <f>AU42+AT43</f>
        <v/>
      </c>
      <c r="AV43" s="21">
        <f>IF(AQ43&gt;=Ipotesi!$B$14,AI43,"")</f>
        <v/>
      </c>
      <c r="AW43" s="21">
        <f>IF(AND(AI43&gt;1,AR43&gt;=0),AI43,"")</f>
        <v/>
      </c>
      <c r="AX43" s="21">
        <f>IF(AND(AI43&gt;1,AU43&gt;=0),AI43,"")</f>
        <v/>
      </c>
    </row>
    <row r="44">
      <c r="A44" s="4" t="n">
        <v>27</v>
      </c>
      <c r="B44" s="4" t="n">
        <v>3</v>
      </c>
      <c r="C44" s="4">
        <f>ROUND(B$5*Stagionalità!$B$6,0)</f>
        <v/>
      </c>
      <c r="D44" s="19">
        <f>C44*'Conti per prodotto'!$B$10</f>
        <v/>
      </c>
      <c r="E44" s="19">
        <f>C44*'Conti per prodotto'!$I$10</f>
        <v/>
      </c>
      <c r="F44" s="19">
        <f>C44*'Conti per prodotto'!$O$10</f>
        <v/>
      </c>
      <c r="G44" s="19">
        <f>'Costi B2Brand'!$E$11</f>
        <v/>
      </c>
      <c r="H44" s="19">
        <f>B$9</f>
        <v/>
      </c>
      <c r="I44" s="20">
        <f>E44-G44-H44</f>
        <v/>
      </c>
      <c r="J44" s="19">
        <f>J43+I44</f>
        <v/>
      </c>
      <c r="K44" s="19">
        <f>('Costi B2Brand'!$E$10-'Costi B2Brand'!$E$11)</f>
        <v/>
      </c>
      <c r="L44" s="19">
        <f>I44-K44</f>
        <v/>
      </c>
      <c r="M44" s="19">
        <f>M43+L44</f>
        <v/>
      </c>
      <c r="N44" s="21">
        <f>IF(I44&gt;=Ipotesi!$B$14,A44,"")</f>
        <v/>
      </c>
      <c r="O44" s="21">
        <f>IF(AND(A44&gt;1,J44&gt;=0),A44,"")</f>
        <v/>
      </c>
      <c r="P44" s="21">
        <f>IF(AND(A44&gt;1,M44&gt;=0),A44,"")</f>
        <v/>
      </c>
      <c r="R44" s="4" t="n">
        <v>27</v>
      </c>
      <c r="S44" s="4" t="n">
        <v>3</v>
      </c>
      <c r="T44" s="4">
        <f>ROUND(C$5*Stagionalità!$B$6,0)</f>
        <v/>
      </c>
      <c r="U44" s="19">
        <f>T44*'Conti per prodotto'!$B$10</f>
        <v/>
      </c>
      <c r="V44" s="19">
        <f>T44*'Conti per prodotto'!$I$10</f>
        <v/>
      </c>
      <c r="W44" s="19">
        <f>T44*'Conti per prodotto'!$O$10</f>
        <v/>
      </c>
      <c r="X44" s="19">
        <f>'Costi B2Brand'!$E$11</f>
        <v/>
      </c>
      <c r="Y44" s="19">
        <f>C$9</f>
        <v/>
      </c>
      <c r="Z44" s="20">
        <f>V44-X44-Y44</f>
        <v/>
      </c>
      <c r="AA44" s="19">
        <f>AA43+Z44</f>
        <v/>
      </c>
      <c r="AB44" s="19">
        <f>('Costi B2Brand'!$E$10-'Costi B2Brand'!$E$11)</f>
        <v/>
      </c>
      <c r="AC44" s="19">
        <f>Z44-AB44</f>
        <v/>
      </c>
      <c r="AD44" s="19">
        <f>AD43+AC44</f>
        <v/>
      </c>
      <c r="AE44" s="21">
        <f>IF(Z44&gt;=Ipotesi!$B$14,R44,"")</f>
        <v/>
      </c>
      <c r="AF44" s="21">
        <f>IF(AND(R44&gt;1,AA44&gt;=0),R44,"")</f>
        <v/>
      </c>
      <c r="AG44" s="21">
        <f>IF(AND(R44&gt;1,AD44&gt;=0),R44,"")</f>
        <v/>
      </c>
      <c r="AI44" s="4" t="n">
        <v>27</v>
      </c>
      <c r="AJ44" s="4" t="n">
        <v>3</v>
      </c>
      <c r="AK44" s="4">
        <f>ROUND(D$5*Stagionalità!$B$6,0)</f>
        <v/>
      </c>
      <c r="AL44" s="19">
        <f>AK44*'Conti per prodotto'!$B$10</f>
        <v/>
      </c>
      <c r="AM44" s="19">
        <f>AK44*'Conti per prodotto'!$I$10</f>
        <v/>
      </c>
      <c r="AN44" s="19">
        <f>AK44*'Conti per prodotto'!$O$10</f>
        <v/>
      </c>
      <c r="AO44" s="19">
        <f>'Costi B2Brand'!$E$11</f>
        <v/>
      </c>
      <c r="AP44" s="19">
        <f>D$9</f>
        <v/>
      </c>
      <c r="AQ44" s="20">
        <f>AM44-AO44-AP44</f>
        <v/>
      </c>
      <c r="AR44" s="19">
        <f>AR43+AQ44</f>
        <v/>
      </c>
      <c r="AS44" s="19">
        <f>('Costi B2Brand'!$E$10-'Costi B2Brand'!$E$11)</f>
        <v/>
      </c>
      <c r="AT44" s="19">
        <f>AQ44-AS44</f>
        <v/>
      </c>
      <c r="AU44" s="19">
        <f>AU43+AT44</f>
        <v/>
      </c>
      <c r="AV44" s="21">
        <f>IF(AQ44&gt;=Ipotesi!$B$14,AI44,"")</f>
        <v/>
      </c>
      <c r="AW44" s="21">
        <f>IF(AND(AI44&gt;1,AR44&gt;=0),AI44,"")</f>
        <v/>
      </c>
      <c r="AX44" s="21">
        <f>IF(AND(AI44&gt;1,AU44&gt;=0),AI44,"")</f>
        <v/>
      </c>
    </row>
    <row r="45">
      <c r="A45" s="4" t="n">
        <v>28</v>
      </c>
      <c r="B45" s="4" t="n">
        <v>3</v>
      </c>
      <c r="C45" s="4">
        <f>ROUND(B$5*Stagionalità!$B$7,0)</f>
        <v/>
      </c>
      <c r="D45" s="19">
        <f>C45*'Conti per prodotto'!$B$10</f>
        <v/>
      </c>
      <c r="E45" s="19">
        <f>C45*'Conti per prodotto'!$I$10</f>
        <v/>
      </c>
      <c r="F45" s="19">
        <f>C45*'Conti per prodotto'!$O$10</f>
        <v/>
      </c>
      <c r="G45" s="19">
        <f>'Costi B2Brand'!$E$11</f>
        <v/>
      </c>
      <c r="H45" s="19">
        <f>B$9</f>
        <v/>
      </c>
      <c r="I45" s="20">
        <f>E45-G45-H45</f>
        <v/>
      </c>
      <c r="J45" s="19">
        <f>J44+I45</f>
        <v/>
      </c>
      <c r="K45" s="19">
        <f>('Costi B2Brand'!$E$10-'Costi B2Brand'!$E$11)</f>
        <v/>
      </c>
      <c r="L45" s="19">
        <f>I45-K45</f>
        <v/>
      </c>
      <c r="M45" s="19">
        <f>M44+L45</f>
        <v/>
      </c>
      <c r="N45" s="21">
        <f>IF(I45&gt;=Ipotesi!$B$14,A45,"")</f>
        <v/>
      </c>
      <c r="O45" s="21">
        <f>IF(AND(A45&gt;1,J45&gt;=0),A45,"")</f>
        <v/>
      </c>
      <c r="P45" s="21">
        <f>IF(AND(A45&gt;1,M45&gt;=0),A45,"")</f>
        <v/>
      </c>
      <c r="R45" s="4" t="n">
        <v>28</v>
      </c>
      <c r="S45" s="4" t="n">
        <v>3</v>
      </c>
      <c r="T45" s="4">
        <f>ROUND(C$5*Stagionalità!$B$7,0)</f>
        <v/>
      </c>
      <c r="U45" s="19">
        <f>T45*'Conti per prodotto'!$B$10</f>
        <v/>
      </c>
      <c r="V45" s="19">
        <f>T45*'Conti per prodotto'!$I$10</f>
        <v/>
      </c>
      <c r="W45" s="19">
        <f>T45*'Conti per prodotto'!$O$10</f>
        <v/>
      </c>
      <c r="X45" s="19">
        <f>'Costi B2Brand'!$E$11</f>
        <v/>
      </c>
      <c r="Y45" s="19">
        <f>C$9</f>
        <v/>
      </c>
      <c r="Z45" s="20">
        <f>V45-X45-Y45</f>
        <v/>
      </c>
      <c r="AA45" s="19">
        <f>AA44+Z45</f>
        <v/>
      </c>
      <c r="AB45" s="19">
        <f>('Costi B2Brand'!$E$10-'Costi B2Brand'!$E$11)</f>
        <v/>
      </c>
      <c r="AC45" s="19">
        <f>Z45-AB45</f>
        <v/>
      </c>
      <c r="AD45" s="19">
        <f>AD44+AC45</f>
        <v/>
      </c>
      <c r="AE45" s="21">
        <f>IF(Z45&gt;=Ipotesi!$B$14,R45,"")</f>
        <v/>
      </c>
      <c r="AF45" s="21">
        <f>IF(AND(R45&gt;1,AA45&gt;=0),R45,"")</f>
        <v/>
      </c>
      <c r="AG45" s="21">
        <f>IF(AND(R45&gt;1,AD45&gt;=0),R45,"")</f>
        <v/>
      </c>
      <c r="AI45" s="4" t="n">
        <v>28</v>
      </c>
      <c r="AJ45" s="4" t="n">
        <v>3</v>
      </c>
      <c r="AK45" s="4">
        <f>ROUND(D$5*Stagionalità!$B$7,0)</f>
        <v/>
      </c>
      <c r="AL45" s="19">
        <f>AK45*'Conti per prodotto'!$B$10</f>
        <v/>
      </c>
      <c r="AM45" s="19">
        <f>AK45*'Conti per prodotto'!$I$10</f>
        <v/>
      </c>
      <c r="AN45" s="19">
        <f>AK45*'Conti per prodotto'!$O$10</f>
        <v/>
      </c>
      <c r="AO45" s="19">
        <f>'Costi B2Brand'!$E$11</f>
        <v/>
      </c>
      <c r="AP45" s="19">
        <f>D$9</f>
        <v/>
      </c>
      <c r="AQ45" s="20">
        <f>AM45-AO45-AP45</f>
        <v/>
      </c>
      <c r="AR45" s="19">
        <f>AR44+AQ45</f>
        <v/>
      </c>
      <c r="AS45" s="19">
        <f>('Costi B2Brand'!$E$10-'Costi B2Brand'!$E$11)</f>
        <v/>
      </c>
      <c r="AT45" s="19">
        <f>AQ45-AS45</f>
        <v/>
      </c>
      <c r="AU45" s="19">
        <f>AU44+AT45</f>
        <v/>
      </c>
      <c r="AV45" s="21">
        <f>IF(AQ45&gt;=Ipotesi!$B$14,AI45,"")</f>
        <v/>
      </c>
      <c r="AW45" s="21">
        <f>IF(AND(AI45&gt;1,AR45&gt;=0),AI45,"")</f>
        <v/>
      </c>
      <c r="AX45" s="21">
        <f>IF(AND(AI45&gt;1,AU45&gt;=0),AI45,"")</f>
        <v/>
      </c>
    </row>
    <row r="46">
      <c r="A46" s="4" t="n">
        <v>29</v>
      </c>
      <c r="B46" s="4" t="n">
        <v>3</v>
      </c>
      <c r="C46" s="4">
        <f>ROUND(B$5*Stagionalità!$B$8,0)</f>
        <v/>
      </c>
      <c r="D46" s="19">
        <f>C46*'Conti per prodotto'!$B$10</f>
        <v/>
      </c>
      <c r="E46" s="19">
        <f>C46*'Conti per prodotto'!$I$10</f>
        <v/>
      </c>
      <c r="F46" s="19">
        <f>C46*'Conti per prodotto'!$O$10</f>
        <v/>
      </c>
      <c r="G46" s="19">
        <f>'Costi B2Brand'!$E$11</f>
        <v/>
      </c>
      <c r="H46" s="19">
        <f>B$9</f>
        <v/>
      </c>
      <c r="I46" s="20">
        <f>E46-G46-H46</f>
        <v/>
      </c>
      <c r="J46" s="19">
        <f>J45+I46</f>
        <v/>
      </c>
      <c r="K46" s="19">
        <f>('Costi B2Brand'!$E$10-'Costi B2Brand'!$E$11)</f>
        <v/>
      </c>
      <c r="L46" s="19">
        <f>I46-K46</f>
        <v/>
      </c>
      <c r="M46" s="19">
        <f>M45+L46</f>
        <v/>
      </c>
      <c r="N46" s="21">
        <f>IF(I46&gt;=Ipotesi!$B$14,A46,"")</f>
        <v/>
      </c>
      <c r="O46" s="21">
        <f>IF(AND(A46&gt;1,J46&gt;=0),A46,"")</f>
        <v/>
      </c>
      <c r="P46" s="21">
        <f>IF(AND(A46&gt;1,M46&gt;=0),A46,"")</f>
        <v/>
      </c>
      <c r="R46" s="4" t="n">
        <v>29</v>
      </c>
      <c r="S46" s="4" t="n">
        <v>3</v>
      </c>
      <c r="T46" s="4">
        <f>ROUND(C$5*Stagionalità!$B$8,0)</f>
        <v/>
      </c>
      <c r="U46" s="19">
        <f>T46*'Conti per prodotto'!$B$10</f>
        <v/>
      </c>
      <c r="V46" s="19">
        <f>T46*'Conti per prodotto'!$I$10</f>
        <v/>
      </c>
      <c r="W46" s="19">
        <f>T46*'Conti per prodotto'!$O$10</f>
        <v/>
      </c>
      <c r="X46" s="19">
        <f>'Costi B2Brand'!$E$11</f>
        <v/>
      </c>
      <c r="Y46" s="19">
        <f>C$9</f>
        <v/>
      </c>
      <c r="Z46" s="20">
        <f>V46-X46-Y46</f>
        <v/>
      </c>
      <c r="AA46" s="19">
        <f>AA45+Z46</f>
        <v/>
      </c>
      <c r="AB46" s="19">
        <f>('Costi B2Brand'!$E$10-'Costi B2Brand'!$E$11)</f>
        <v/>
      </c>
      <c r="AC46" s="19">
        <f>Z46-AB46</f>
        <v/>
      </c>
      <c r="AD46" s="19">
        <f>AD45+AC46</f>
        <v/>
      </c>
      <c r="AE46" s="21">
        <f>IF(Z46&gt;=Ipotesi!$B$14,R46,"")</f>
        <v/>
      </c>
      <c r="AF46" s="21">
        <f>IF(AND(R46&gt;1,AA46&gt;=0),R46,"")</f>
        <v/>
      </c>
      <c r="AG46" s="21">
        <f>IF(AND(R46&gt;1,AD46&gt;=0),R46,"")</f>
        <v/>
      </c>
      <c r="AI46" s="4" t="n">
        <v>29</v>
      </c>
      <c r="AJ46" s="4" t="n">
        <v>3</v>
      </c>
      <c r="AK46" s="4">
        <f>ROUND(D$5*Stagionalità!$B$8,0)</f>
        <v/>
      </c>
      <c r="AL46" s="19">
        <f>AK46*'Conti per prodotto'!$B$10</f>
        <v/>
      </c>
      <c r="AM46" s="19">
        <f>AK46*'Conti per prodotto'!$I$10</f>
        <v/>
      </c>
      <c r="AN46" s="19">
        <f>AK46*'Conti per prodotto'!$O$10</f>
        <v/>
      </c>
      <c r="AO46" s="19">
        <f>'Costi B2Brand'!$E$11</f>
        <v/>
      </c>
      <c r="AP46" s="19">
        <f>D$9</f>
        <v/>
      </c>
      <c r="AQ46" s="20">
        <f>AM46-AO46-AP46</f>
        <v/>
      </c>
      <c r="AR46" s="19">
        <f>AR45+AQ46</f>
        <v/>
      </c>
      <c r="AS46" s="19">
        <f>('Costi B2Brand'!$E$10-'Costi B2Brand'!$E$11)</f>
        <v/>
      </c>
      <c r="AT46" s="19">
        <f>AQ46-AS46</f>
        <v/>
      </c>
      <c r="AU46" s="19">
        <f>AU45+AT46</f>
        <v/>
      </c>
      <c r="AV46" s="21">
        <f>IF(AQ46&gt;=Ipotesi!$B$14,AI46,"")</f>
        <v/>
      </c>
      <c r="AW46" s="21">
        <f>IF(AND(AI46&gt;1,AR46&gt;=0),AI46,"")</f>
        <v/>
      </c>
      <c r="AX46" s="21">
        <f>IF(AND(AI46&gt;1,AU46&gt;=0),AI46,"")</f>
        <v/>
      </c>
    </row>
    <row r="47">
      <c r="A47" s="4" t="n">
        <v>30</v>
      </c>
      <c r="B47" s="4" t="n">
        <v>3</v>
      </c>
      <c r="C47" s="4">
        <f>ROUND(B$5*Stagionalità!$B$9,0)</f>
        <v/>
      </c>
      <c r="D47" s="19">
        <f>C47*'Conti per prodotto'!$B$10</f>
        <v/>
      </c>
      <c r="E47" s="19">
        <f>C47*'Conti per prodotto'!$I$10</f>
        <v/>
      </c>
      <c r="F47" s="19">
        <f>C47*'Conti per prodotto'!$O$10</f>
        <v/>
      </c>
      <c r="G47" s="19">
        <f>'Costi B2Brand'!$E$11</f>
        <v/>
      </c>
      <c r="H47" s="19">
        <f>B$9</f>
        <v/>
      </c>
      <c r="I47" s="20">
        <f>E47-G47-H47</f>
        <v/>
      </c>
      <c r="J47" s="19">
        <f>J46+I47</f>
        <v/>
      </c>
      <c r="K47" s="19">
        <f>('Costi B2Brand'!$E$10-'Costi B2Brand'!$E$11)</f>
        <v/>
      </c>
      <c r="L47" s="19">
        <f>I47-K47</f>
        <v/>
      </c>
      <c r="M47" s="19">
        <f>M46+L47</f>
        <v/>
      </c>
      <c r="N47" s="21">
        <f>IF(I47&gt;=Ipotesi!$B$14,A47,"")</f>
        <v/>
      </c>
      <c r="O47" s="21">
        <f>IF(AND(A47&gt;1,J47&gt;=0),A47,"")</f>
        <v/>
      </c>
      <c r="P47" s="21">
        <f>IF(AND(A47&gt;1,M47&gt;=0),A47,"")</f>
        <v/>
      </c>
      <c r="R47" s="4" t="n">
        <v>30</v>
      </c>
      <c r="S47" s="4" t="n">
        <v>3</v>
      </c>
      <c r="T47" s="4">
        <f>ROUND(C$5*Stagionalità!$B$9,0)</f>
        <v/>
      </c>
      <c r="U47" s="19">
        <f>T47*'Conti per prodotto'!$B$10</f>
        <v/>
      </c>
      <c r="V47" s="19">
        <f>T47*'Conti per prodotto'!$I$10</f>
        <v/>
      </c>
      <c r="W47" s="19">
        <f>T47*'Conti per prodotto'!$O$10</f>
        <v/>
      </c>
      <c r="X47" s="19">
        <f>'Costi B2Brand'!$E$11</f>
        <v/>
      </c>
      <c r="Y47" s="19">
        <f>C$9</f>
        <v/>
      </c>
      <c r="Z47" s="20">
        <f>V47-X47-Y47</f>
        <v/>
      </c>
      <c r="AA47" s="19">
        <f>AA46+Z47</f>
        <v/>
      </c>
      <c r="AB47" s="19">
        <f>('Costi B2Brand'!$E$10-'Costi B2Brand'!$E$11)</f>
        <v/>
      </c>
      <c r="AC47" s="19">
        <f>Z47-AB47</f>
        <v/>
      </c>
      <c r="AD47" s="19">
        <f>AD46+AC47</f>
        <v/>
      </c>
      <c r="AE47" s="21">
        <f>IF(Z47&gt;=Ipotesi!$B$14,R47,"")</f>
        <v/>
      </c>
      <c r="AF47" s="21">
        <f>IF(AND(R47&gt;1,AA47&gt;=0),R47,"")</f>
        <v/>
      </c>
      <c r="AG47" s="21">
        <f>IF(AND(R47&gt;1,AD47&gt;=0),R47,"")</f>
        <v/>
      </c>
      <c r="AI47" s="4" t="n">
        <v>30</v>
      </c>
      <c r="AJ47" s="4" t="n">
        <v>3</v>
      </c>
      <c r="AK47" s="4">
        <f>ROUND(D$5*Stagionalità!$B$9,0)</f>
        <v/>
      </c>
      <c r="AL47" s="19">
        <f>AK47*'Conti per prodotto'!$B$10</f>
        <v/>
      </c>
      <c r="AM47" s="19">
        <f>AK47*'Conti per prodotto'!$I$10</f>
        <v/>
      </c>
      <c r="AN47" s="19">
        <f>AK47*'Conti per prodotto'!$O$10</f>
        <v/>
      </c>
      <c r="AO47" s="19">
        <f>'Costi B2Brand'!$E$11</f>
        <v/>
      </c>
      <c r="AP47" s="19">
        <f>D$9</f>
        <v/>
      </c>
      <c r="AQ47" s="20">
        <f>AM47-AO47-AP47</f>
        <v/>
      </c>
      <c r="AR47" s="19">
        <f>AR46+AQ47</f>
        <v/>
      </c>
      <c r="AS47" s="19">
        <f>('Costi B2Brand'!$E$10-'Costi B2Brand'!$E$11)</f>
        <v/>
      </c>
      <c r="AT47" s="19">
        <f>AQ47-AS47</f>
        <v/>
      </c>
      <c r="AU47" s="19">
        <f>AU46+AT47</f>
        <v/>
      </c>
      <c r="AV47" s="21">
        <f>IF(AQ47&gt;=Ipotesi!$B$14,AI47,"")</f>
        <v/>
      </c>
      <c r="AW47" s="21">
        <f>IF(AND(AI47&gt;1,AR47&gt;=0),AI47,"")</f>
        <v/>
      </c>
      <c r="AX47" s="21">
        <f>IF(AND(AI47&gt;1,AU47&gt;=0),AI47,"")</f>
        <v/>
      </c>
    </row>
    <row r="48">
      <c r="A48" s="4" t="n">
        <v>31</v>
      </c>
      <c r="B48" s="4" t="n">
        <v>3</v>
      </c>
      <c r="C48" s="4">
        <f>ROUND(B$5*Stagionalità!$B$10,0)</f>
        <v/>
      </c>
      <c r="D48" s="19">
        <f>C48*'Conti per prodotto'!$B$10</f>
        <v/>
      </c>
      <c r="E48" s="19">
        <f>C48*'Conti per prodotto'!$I$10</f>
        <v/>
      </c>
      <c r="F48" s="19">
        <f>C48*'Conti per prodotto'!$O$10</f>
        <v/>
      </c>
      <c r="G48" s="19">
        <f>'Costi B2Brand'!$E$11</f>
        <v/>
      </c>
      <c r="H48" s="19">
        <f>B$9</f>
        <v/>
      </c>
      <c r="I48" s="20">
        <f>E48-G48-H48</f>
        <v/>
      </c>
      <c r="J48" s="19">
        <f>J47+I48</f>
        <v/>
      </c>
      <c r="K48" s="19">
        <f>('Costi B2Brand'!$E$10-'Costi B2Brand'!$E$11)</f>
        <v/>
      </c>
      <c r="L48" s="19">
        <f>I48-K48</f>
        <v/>
      </c>
      <c r="M48" s="19">
        <f>M47+L48</f>
        <v/>
      </c>
      <c r="N48" s="21">
        <f>IF(I48&gt;=Ipotesi!$B$14,A48,"")</f>
        <v/>
      </c>
      <c r="O48" s="21">
        <f>IF(AND(A48&gt;1,J48&gt;=0),A48,"")</f>
        <v/>
      </c>
      <c r="P48" s="21">
        <f>IF(AND(A48&gt;1,M48&gt;=0),A48,"")</f>
        <v/>
      </c>
      <c r="R48" s="4" t="n">
        <v>31</v>
      </c>
      <c r="S48" s="4" t="n">
        <v>3</v>
      </c>
      <c r="T48" s="4">
        <f>ROUND(C$5*Stagionalità!$B$10,0)</f>
        <v/>
      </c>
      <c r="U48" s="19">
        <f>T48*'Conti per prodotto'!$B$10</f>
        <v/>
      </c>
      <c r="V48" s="19">
        <f>T48*'Conti per prodotto'!$I$10</f>
        <v/>
      </c>
      <c r="W48" s="19">
        <f>T48*'Conti per prodotto'!$O$10</f>
        <v/>
      </c>
      <c r="X48" s="19">
        <f>'Costi B2Brand'!$E$11</f>
        <v/>
      </c>
      <c r="Y48" s="19">
        <f>C$9</f>
        <v/>
      </c>
      <c r="Z48" s="20">
        <f>V48-X48-Y48</f>
        <v/>
      </c>
      <c r="AA48" s="19">
        <f>AA47+Z48</f>
        <v/>
      </c>
      <c r="AB48" s="19">
        <f>('Costi B2Brand'!$E$10-'Costi B2Brand'!$E$11)</f>
        <v/>
      </c>
      <c r="AC48" s="19">
        <f>Z48-AB48</f>
        <v/>
      </c>
      <c r="AD48" s="19">
        <f>AD47+AC48</f>
        <v/>
      </c>
      <c r="AE48" s="21">
        <f>IF(Z48&gt;=Ipotesi!$B$14,R48,"")</f>
        <v/>
      </c>
      <c r="AF48" s="21">
        <f>IF(AND(R48&gt;1,AA48&gt;=0),R48,"")</f>
        <v/>
      </c>
      <c r="AG48" s="21">
        <f>IF(AND(R48&gt;1,AD48&gt;=0),R48,"")</f>
        <v/>
      </c>
      <c r="AI48" s="4" t="n">
        <v>31</v>
      </c>
      <c r="AJ48" s="4" t="n">
        <v>3</v>
      </c>
      <c r="AK48" s="4">
        <f>ROUND(D$5*Stagionalità!$B$10,0)</f>
        <v/>
      </c>
      <c r="AL48" s="19">
        <f>AK48*'Conti per prodotto'!$B$10</f>
        <v/>
      </c>
      <c r="AM48" s="19">
        <f>AK48*'Conti per prodotto'!$I$10</f>
        <v/>
      </c>
      <c r="AN48" s="19">
        <f>AK48*'Conti per prodotto'!$O$10</f>
        <v/>
      </c>
      <c r="AO48" s="19">
        <f>'Costi B2Brand'!$E$11</f>
        <v/>
      </c>
      <c r="AP48" s="19">
        <f>D$9</f>
        <v/>
      </c>
      <c r="AQ48" s="20">
        <f>AM48-AO48-AP48</f>
        <v/>
      </c>
      <c r="AR48" s="19">
        <f>AR47+AQ48</f>
        <v/>
      </c>
      <c r="AS48" s="19">
        <f>('Costi B2Brand'!$E$10-'Costi B2Brand'!$E$11)</f>
        <v/>
      </c>
      <c r="AT48" s="19">
        <f>AQ48-AS48</f>
        <v/>
      </c>
      <c r="AU48" s="19">
        <f>AU47+AT48</f>
        <v/>
      </c>
      <c r="AV48" s="21">
        <f>IF(AQ48&gt;=Ipotesi!$B$14,AI48,"")</f>
        <v/>
      </c>
      <c r="AW48" s="21">
        <f>IF(AND(AI48&gt;1,AR48&gt;=0),AI48,"")</f>
        <v/>
      </c>
      <c r="AX48" s="21">
        <f>IF(AND(AI48&gt;1,AU48&gt;=0),AI48,"")</f>
        <v/>
      </c>
    </row>
    <row r="49">
      <c r="A49" s="4" t="n">
        <v>32</v>
      </c>
      <c r="B49" s="4" t="n">
        <v>3</v>
      </c>
      <c r="C49" s="4">
        <f>ROUND(B$5*Stagionalità!$B$11,0)</f>
        <v/>
      </c>
      <c r="D49" s="19">
        <f>C49*'Conti per prodotto'!$B$10</f>
        <v/>
      </c>
      <c r="E49" s="19">
        <f>C49*'Conti per prodotto'!$I$10</f>
        <v/>
      </c>
      <c r="F49" s="19">
        <f>C49*'Conti per prodotto'!$O$10</f>
        <v/>
      </c>
      <c r="G49" s="19">
        <f>'Costi B2Brand'!$E$11</f>
        <v/>
      </c>
      <c r="H49" s="19">
        <f>B$9</f>
        <v/>
      </c>
      <c r="I49" s="20">
        <f>E49-G49-H49</f>
        <v/>
      </c>
      <c r="J49" s="19">
        <f>J48+I49</f>
        <v/>
      </c>
      <c r="K49" s="19">
        <f>('Costi B2Brand'!$E$10-'Costi B2Brand'!$E$11)</f>
        <v/>
      </c>
      <c r="L49" s="19">
        <f>I49-K49</f>
        <v/>
      </c>
      <c r="M49" s="19">
        <f>M48+L49</f>
        <v/>
      </c>
      <c r="N49" s="21">
        <f>IF(I49&gt;=Ipotesi!$B$14,A49,"")</f>
        <v/>
      </c>
      <c r="O49" s="21">
        <f>IF(AND(A49&gt;1,J49&gt;=0),A49,"")</f>
        <v/>
      </c>
      <c r="P49" s="21">
        <f>IF(AND(A49&gt;1,M49&gt;=0),A49,"")</f>
        <v/>
      </c>
      <c r="R49" s="4" t="n">
        <v>32</v>
      </c>
      <c r="S49" s="4" t="n">
        <v>3</v>
      </c>
      <c r="T49" s="4">
        <f>ROUND(C$5*Stagionalità!$B$11,0)</f>
        <v/>
      </c>
      <c r="U49" s="19">
        <f>T49*'Conti per prodotto'!$B$10</f>
        <v/>
      </c>
      <c r="V49" s="19">
        <f>T49*'Conti per prodotto'!$I$10</f>
        <v/>
      </c>
      <c r="W49" s="19">
        <f>T49*'Conti per prodotto'!$O$10</f>
        <v/>
      </c>
      <c r="X49" s="19">
        <f>'Costi B2Brand'!$E$11</f>
        <v/>
      </c>
      <c r="Y49" s="19">
        <f>C$9</f>
        <v/>
      </c>
      <c r="Z49" s="20">
        <f>V49-X49-Y49</f>
        <v/>
      </c>
      <c r="AA49" s="19">
        <f>AA48+Z49</f>
        <v/>
      </c>
      <c r="AB49" s="19">
        <f>('Costi B2Brand'!$E$10-'Costi B2Brand'!$E$11)</f>
        <v/>
      </c>
      <c r="AC49" s="19">
        <f>Z49-AB49</f>
        <v/>
      </c>
      <c r="AD49" s="19">
        <f>AD48+AC49</f>
        <v/>
      </c>
      <c r="AE49" s="21">
        <f>IF(Z49&gt;=Ipotesi!$B$14,R49,"")</f>
        <v/>
      </c>
      <c r="AF49" s="21">
        <f>IF(AND(R49&gt;1,AA49&gt;=0),R49,"")</f>
        <v/>
      </c>
      <c r="AG49" s="21">
        <f>IF(AND(R49&gt;1,AD49&gt;=0),R49,"")</f>
        <v/>
      </c>
      <c r="AI49" s="4" t="n">
        <v>32</v>
      </c>
      <c r="AJ49" s="4" t="n">
        <v>3</v>
      </c>
      <c r="AK49" s="4">
        <f>ROUND(D$5*Stagionalità!$B$11,0)</f>
        <v/>
      </c>
      <c r="AL49" s="19">
        <f>AK49*'Conti per prodotto'!$B$10</f>
        <v/>
      </c>
      <c r="AM49" s="19">
        <f>AK49*'Conti per prodotto'!$I$10</f>
        <v/>
      </c>
      <c r="AN49" s="19">
        <f>AK49*'Conti per prodotto'!$O$10</f>
        <v/>
      </c>
      <c r="AO49" s="19">
        <f>'Costi B2Brand'!$E$11</f>
        <v/>
      </c>
      <c r="AP49" s="19">
        <f>D$9</f>
        <v/>
      </c>
      <c r="AQ49" s="20">
        <f>AM49-AO49-AP49</f>
        <v/>
      </c>
      <c r="AR49" s="19">
        <f>AR48+AQ49</f>
        <v/>
      </c>
      <c r="AS49" s="19">
        <f>('Costi B2Brand'!$E$10-'Costi B2Brand'!$E$11)</f>
        <v/>
      </c>
      <c r="AT49" s="19">
        <f>AQ49-AS49</f>
        <v/>
      </c>
      <c r="AU49" s="19">
        <f>AU48+AT49</f>
        <v/>
      </c>
      <c r="AV49" s="21">
        <f>IF(AQ49&gt;=Ipotesi!$B$14,AI49,"")</f>
        <v/>
      </c>
      <c r="AW49" s="21">
        <f>IF(AND(AI49&gt;1,AR49&gt;=0),AI49,"")</f>
        <v/>
      </c>
      <c r="AX49" s="21">
        <f>IF(AND(AI49&gt;1,AU49&gt;=0),AI49,"")</f>
        <v/>
      </c>
    </row>
    <row r="50">
      <c r="A50" s="4" t="n">
        <v>33</v>
      </c>
      <c r="B50" s="4" t="n">
        <v>3</v>
      </c>
      <c r="C50" s="4">
        <f>ROUND(B$5*Stagionalità!$B$12,0)</f>
        <v/>
      </c>
      <c r="D50" s="19">
        <f>C50*'Conti per prodotto'!$B$10</f>
        <v/>
      </c>
      <c r="E50" s="19">
        <f>C50*'Conti per prodotto'!$I$10</f>
        <v/>
      </c>
      <c r="F50" s="19">
        <f>C50*'Conti per prodotto'!$O$10</f>
        <v/>
      </c>
      <c r="G50" s="19">
        <f>'Costi B2Brand'!$E$11</f>
        <v/>
      </c>
      <c r="H50" s="19">
        <f>B$9</f>
        <v/>
      </c>
      <c r="I50" s="20">
        <f>E50-G50-H50</f>
        <v/>
      </c>
      <c r="J50" s="19">
        <f>J49+I50</f>
        <v/>
      </c>
      <c r="K50" s="19">
        <f>('Costi B2Brand'!$E$10-'Costi B2Brand'!$E$11)</f>
        <v/>
      </c>
      <c r="L50" s="19">
        <f>I50-K50</f>
        <v/>
      </c>
      <c r="M50" s="19">
        <f>M49+L50</f>
        <v/>
      </c>
      <c r="N50" s="21">
        <f>IF(I50&gt;=Ipotesi!$B$14,A50,"")</f>
        <v/>
      </c>
      <c r="O50" s="21">
        <f>IF(AND(A50&gt;1,J50&gt;=0),A50,"")</f>
        <v/>
      </c>
      <c r="P50" s="21">
        <f>IF(AND(A50&gt;1,M50&gt;=0),A50,"")</f>
        <v/>
      </c>
      <c r="R50" s="4" t="n">
        <v>33</v>
      </c>
      <c r="S50" s="4" t="n">
        <v>3</v>
      </c>
      <c r="T50" s="4">
        <f>ROUND(C$5*Stagionalità!$B$12,0)</f>
        <v/>
      </c>
      <c r="U50" s="19">
        <f>T50*'Conti per prodotto'!$B$10</f>
        <v/>
      </c>
      <c r="V50" s="19">
        <f>T50*'Conti per prodotto'!$I$10</f>
        <v/>
      </c>
      <c r="W50" s="19">
        <f>T50*'Conti per prodotto'!$O$10</f>
        <v/>
      </c>
      <c r="X50" s="19">
        <f>'Costi B2Brand'!$E$11</f>
        <v/>
      </c>
      <c r="Y50" s="19">
        <f>C$9</f>
        <v/>
      </c>
      <c r="Z50" s="20">
        <f>V50-X50-Y50</f>
        <v/>
      </c>
      <c r="AA50" s="19">
        <f>AA49+Z50</f>
        <v/>
      </c>
      <c r="AB50" s="19">
        <f>('Costi B2Brand'!$E$10-'Costi B2Brand'!$E$11)</f>
        <v/>
      </c>
      <c r="AC50" s="19">
        <f>Z50-AB50</f>
        <v/>
      </c>
      <c r="AD50" s="19">
        <f>AD49+AC50</f>
        <v/>
      </c>
      <c r="AE50" s="21">
        <f>IF(Z50&gt;=Ipotesi!$B$14,R50,"")</f>
        <v/>
      </c>
      <c r="AF50" s="21">
        <f>IF(AND(R50&gt;1,AA50&gt;=0),R50,"")</f>
        <v/>
      </c>
      <c r="AG50" s="21">
        <f>IF(AND(R50&gt;1,AD50&gt;=0),R50,"")</f>
        <v/>
      </c>
      <c r="AI50" s="4" t="n">
        <v>33</v>
      </c>
      <c r="AJ50" s="4" t="n">
        <v>3</v>
      </c>
      <c r="AK50" s="4">
        <f>ROUND(D$5*Stagionalità!$B$12,0)</f>
        <v/>
      </c>
      <c r="AL50" s="19">
        <f>AK50*'Conti per prodotto'!$B$10</f>
        <v/>
      </c>
      <c r="AM50" s="19">
        <f>AK50*'Conti per prodotto'!$I$10</f>
        <v/>
      </c>
      <c r="AN50" s="19">
        <f>AK50*'Conti per prodotto'!$O$10</f>
        <v/>
      </c>
      <c r="AO50" s="19">
        <f>'Costi B2Brand'!$E$11</f>
        <v/>
      </c>
      <c r="AP50" s="19">
        <f>D$9</f>
        <v/>
      </c>
      <c r="AQ50" s="20">
        <f>AM50-AO50-AP50</f>
        <v/>
      </c>
      <c r="AR50" s="19">
        <f>AR49+AQ50</f>
        <v/>
      </c>
      <c r="AS50" s="19">
        <f>('Costi B2Brand'!$E$10-'Costi B2Brand'!$E$11)</f>
        <v/>
      </c>
      <c r="AT50" s="19">
        <f>AQ50-AS50</f>
        <v/>
      </c>
      <c r="AU50" s="19">
        <f>AU49+AT50</f>
        <v/>
      </c>
      <c r="AV50" s="21">
        <f>IF(AQ50&gt;=Ipotesi!$B$14,AI50,"")</f>
        <v/>
      </c>
      <c r="AW50" s="21">
        <f>IF(AND(AI50&gt;1,AR50&gt;=0),AI50,"")</f>
        <v/>
      </c>
      <c r="AX50" s="21">
        <f>IF(AND(AI50&gt;1,AU50&gt;=0),AI50,"")</f>
        <v/>
      </c>
    </row>
    <row r="51">
      <c r="A51" s="4" t="n">
        <v>34</v>
      </c>
      <c r="B51" s="4" t="n">
        <v>3</v>
      </c>
      <c r="C51" s="4">
        <f>ROUND(B$5*Stagionalità!$B$13,0)</f>
        <v/>
      </c>
      <c r="D51" s="19">
        <f>C51*'Conti per prodotto'!$B$10</f>
        <v/>
      </c>
      <c r="E51" s="19">
        <f>C51*'Conti per prodotto'!$I$10</f>
        <v/>
      </c>
      <c r="F51" s="19">
        <f>C51*'Conti per prodotto'!$O$10</f>
        <v/>
      </c>
      <c r="G51" s="19">
        <f>'Costi B2Brand'!$E$11</f>
        <v/>
      </c>
      <c r="H51" s="19">
        <f>B$9</f>
        <v/>
      </c>
      <c r="I51" s="20">
        <f>E51-G51-H51</f>
        <v/>
      </c>
      <c r="J51" s="19">
        <f>J50+I51</f>
        <v/>
      </c>
      <c r="K51" s="19">
        <f>('Costi B2Brand'!$E$10-'Costi B2Brand'!$E$11)</f>
        <v/>
      </c>
      <c r="L51" s="19">
        <f>I51-K51</f>
        <v/>
      </c>
      <c r="M51" s="19">
        <f>M50+L51</f>
        <v/>
      </c>
      <c r="N51" s="21">
        <f>IF(I51&gt;=Ipotesi!$B$14,A51,"")</f>
        <v/>
      </c>
      <c r="O51" s="21">
        <f>IF(AND(A51&gt;1,J51&gt;=0),A51,"")</f>
        <v/>
      </c>
      <c r="P51" s="21">
        <f>IF(AND(A51&gt;1,M51&gt;=0),A51,"")</f>
        <v/>
      </c>
      <c r="R51" s="4" t="n">
        <v>34</v>
      </c>
      <c r="S51" s="4" t="n">
        <v>3</v>
      </c>
      <c r="T51" s="4">
        <f>ROUND(C$5*Stagionalità!$B$13,0)</f>
        <v/>
      </c>
      <c r="U51" s="19">
        <f>T51*'Conti per prodotto'!$B$10</f>
        <v/>
      </c>
      <c r="V51" s="19">
        <f>T51*'Conti per prodotto'!$I$10</f>
        <v/>
      </c>
      <c r="W51" s="19">
        <f>T51*'Conti per prodotto'!$O$10</f>
        <v/>
      </c>
      <c r="X51" s="19">
        <f>'Costi B2Brand'!$E$11</f>
        <v/>
      </c>
      <c r="Y51" s="19">
        <f>C$9</f>
        <v/>
      </c>
      <c r="Z51" s="20">
        <f>V51-X51-Y51</f>
        <v/>
      </c>
      <c r="AA51" s="19">
        <f>AA50+Z51</f>
        <v/>
      </c>
      <c r="AB51" s="19">
        <f>('Costi B2Brand'!$E$10-'Costi B2Brand'!$E$11)</f>
        <v/>
      </c>
      <c r="AC51" s="19">
        <f>Z51-AB51</f>
        <v/>
      </c>
      <c r="AD51" s="19">
        <f>AD50+AC51</f>
        <v/>
      </c>
      <c r="AE51" s="21">
        <f>IF(Z51&gt;=Ipotesi!$B$14,R51,"")</f>
        <v/>
      </c>
      <c r="AF51" s="21">
        <f>IF(AND(R51&gt;1,AA51&gt;=0),R51,"")</f>
        <v/>
      </c>
      <c r="AG51" s="21">
        <f>IF(AND(R51&gt;1,AD51&gt;=0),R51,"")</f>
        <v/>
      </c>
      <c r="AI51" s="4" t="n">
        <v>34</v>
      </c>
      <c r="AJ51" s="4" t="n">
        <v>3</v>
      </c>
      <c r="AK51" s="4">
        <f>ROUND(D$5*Stagionalità!$B$13,0)</f>
        <v/>
      </c>
      <c r="AL51" s="19">
        <f>AK51*'Conti per prodotto'!$B$10</f>
        <v/>
      </c>
      <c r="AM51" s="19">
        <f>AK51*'Conti per prodotto'!$I$10</f>
        <v/>
      </c>
      <c r="AN51" s="19">
        <f>AK51*'Conti per prodotto'!$O$10</f>
        <v/>
      </c>
      <c r="AO51" s="19">
        <f>'Costi B2Brand'!$E$11</f>
        <v/>
      </c>
      <c r="AP51" s="19">
        <f>D$9</f>
        <v/>
      </c>
      <c r="AQ51" s="20">
        <f>AM51-AO51-AP51</f>
        <v/>
      </c>
      <c r="AR51" s="19">
        <f>AR50+AQ51</f>
        <v/>
      </c>
      <c r="AS51" s="19">
        <f>('Costi B2Brand'!$E$10-'Costi B2Brand'!$E$11)</f>
        <v/>
      </c>
      <c r="AT51" s="19">
        <f>AQ51-AS51</f>
        <v/>
      </c>
      <c r="AU51" s="19">
        <f>AU50+AT51</f>
        <v/>
      </c>
      <c r="AV51" s="21">
        <f>IF(AQ51&gt;=Ipotesi!$B$14,AI51,"")</f>
        <v/>
      </c>
      <c r="AW51" s="21">
        <f>IF(AND(AI51&gt;1,AR51&gt;=0),AI51,"")</f>
        <v/>
      </c>
      <c r="AX51" s="21">
        <f>IF(AND(AI51&gt;1,AU51&gt;=0),AI51,"")</f>
        <v/>
      </c>
    </row>
    <row r="52">
      <c r="A52" s="4" t="n">
        <v>35</v>
      </c>
      <c r="B52" s="4" t="n">
        <v>3</v>
      </c>
      <c r="C52" s="4">
        <f>ROUND(B$5*Stagionalità!$B$2,0)</f>
        <v/>
      </c>
      <c r="D52" s="19">
        <f>C52*'Conti per prodotto'!$B$10</f>
        <v/>
      </c>
      <c r="E52" s="19">
        <f>C52*'Conti per prodotto'!$I$10</f>
        <v/>
      </c>
      <c r="F52" s="19">
        <f>C52*'Conti per prodotto'!$O$10</f>
        <v/>
      </c>
      <c r="G52" s="19">
        <f>'Costi B2Brand'!$E$11</f>
        <v/>
      </c>
      <c r="H52" s="19">
        <f>B$9</f>
        <v/>
      </c>
      <c r="I52" s="20">
        <f>E52-G52-H52</f>
        <v/>
      </c>
      <c r="J52" s="19">
        <f>J51+I52</f>
        <v/>
      </c>
      <c r="K52" s="19">
        <f>('Costi B2Brand'!$E$10-'Costi B2Brand'!$E$11)</f>
        <v/>
      </c>
      <c r="L52" s="19">
        <f>I52-K52</f>
        <v/>
      </c>
      <c r="M52" s="19">
        <f>M51+L52</f>
        <v/>
      </c>
      <c r="N52" s="21">
        <f>IF(I52&gt;=Ipotesi!$B$14,A52,"")</f>
        <v/>
      </c>
      <c r="O52" s="21">
        <f>IF(AND(A52&gt;1,J52&gt;=0),A52,"")</f>
        <v/>
      </c>
      <c r="P52" s="21">
        <f>IF(AND(A52&gt;1,M52&gt;=0),A52,"")</f>
        <v/>
      </c>
      <c r="R52" s="4" t="n">
        <v>35</v>
      </c>
      <c r="S52" s="4" t="n">
        <v>3</v>
      </c>
      <c r="T52" s="4">
        <f>ROUND(C$5*Stagionalità!$B$2,0)</f>
        <v/>
      </c>
      <c r="U52" s="19">
        <f>T52*'Conti per prodotto'!$B$10</f>
        <v/>
      </c>
      <c r="V52" s="19">
        <f>T52*'Conti per prodotto'!$I$10</f>
        <v/>
      </c>
      <c r="W52" s="19">
        <f>T52*'Conti per prodotto'!$O$10</f>
        <v/>
      </c>
      <c r="X52" s="19">
        <f>'Costi B2Brand'!$E$11</f>
        <v/>
      </c>
      <c r="Y52" s="19">
        <f>C$9</f>
        <v/>
      </c>
      <c r="Z52" s="20">
        <f>V52-X52-Y52</f>
        <v/>
      </c>
      <c r="AA52" s="19">
        <f>AA51+Z52</f>
        <v/>
      </c>
      <c r="AB52" s="19">
        <f>('Costi B2Brand'!$E$10-'Costi B2Brand'!$E$11)</f>
        <v/>
      </c>
      <c r="AC52" s="19">
        <f>Z52-AB52</f>
        <v/>
      </c>
      <c r="AD52" s="19">
        <f>AD51+AC52</f>
        <v/>
      </c>
      <c r="AE52" s="21">
        <f>IF(Z52&gt;=Ipotesi!$B$14,R52,"")</f>
        <v/>
      </c>
      <c r="AF52" s="21">
        <f>IF(AND(R52&gt;1,AA52&gt;=0),R52,"")</f>
        <v/>
      </c>
      <c r="AG52" s="21">
        <f>IF(AND(R52&gt;1,AD52&gt;=0),R52,"")</f>
        <v/>
      </c>
      <c r="AI52" s="4" t="n">
        <v>35</v>
      </c>
      <c r="AJ52" s="4" t="n">
        <v>3</v>
      </c>
      <c r="AK52" s="4">
        <f>ROUND(D$5*Stagionalità!$B$2,0)</f>
        <v/>
      </c>
      <c r="AL52" s="19">
        <f>AK52*'Conti per prodotto'!$B$10</f>
        <v/>
      </c>
      <c r="AM52" s="19">
        <f>AK52*'Conti per prodotto'!$I$10</f>
        <v/>
      </c>
      <c r="AN52" s="19">
        <f>AK52*'Conti per prodotto'!$O$10</f>
        <v/>
      </c>
      <c r="AO52" s="19">
        <f>'Costi B2Brand'!$E$11</f>
        <v/>
      </c>
      <c r="AP52" s="19">
        <f>D$9</f>
        <v/>
      </c>
      <c r="AQ52" s="20">
        <f>AM52-AO52-AP52</f>
        <v/>
      </c>
      <c r="AR52" s="19">
        <f>AR51+AQ52</f>
        <v/>
      </c>
      <c r="AS52" s="19">
        <f>('Costi B2Brand'!$E$10-'Costi B2Brand'!$E$11)</f>
        <v/>
      </c>
      <c r="AT52" s="19">
        <f>AQ52-AS52</f>
        <v/>
      </c>
      <c r="AU52" s="19">
        <f>AU51+AT52</f>
        <v/>
      </c>
      <c r="AV52" s="21">
        <f>IF(AQ52&gt;=Ipotesi!$B$14,AI52,"")</f>
        <v/>
      </c>
      <c r="AW52" s="21">
        <f>IF(AND(AI52&gt;1,AR52&gt;=0),AI52,"")</f>
        <v/>
      </c>
      <c r="AX52" s="21">
        <f>IF(AND(AI52&gt;1,AU52&gt;=0),AI52,"")</f>
        <v/>
      </c>
    </row>
    <row r="53">
      <c r="A53" s="4" t="n">
        <v>36</v>
      </c>
      <c r="B53" s="4" t="n">
        <v>3</v>
      </c>
      <c r="C53" s="4">
        <f>ROUND(B$5*Stagionalità!$B$3,0)</f>
        <v/>
      </c>
      <c r="D53" s="19">
        <f>C53*'Conti per prodotto'!$B$10</f>
        <v/>
      </c>
      <c r="E53" s="19">
        <f>C53*'Conti per prodotto'!$I$10</f>
        <v/>
      </c>
      <c r="F53" s="19">
        <f>C53*'Conti per prodotto'!$O$10</f>
        <v/>
      </c>
      <c r="G53" s="19">
        <f>'Costi B2Brand'!$E$11</f>
        <v/>
      </c>
      <c r="H53" s="19">
        <f>B$9</f>
        <v/>
      </c>
      <c r="I53" s="20">
        <f>E53-G53-H53</f>
        <v/>
      </c>
      <c r="J53" s="19">
        <f>J52+I53</f>
        <v/>
      </c>
      <c r="K53" s="19">
        <f>('Costi B2Brand'!$E$10-'Costi B2Brand'!$E$11)</f>
        <v/>
      </c>
      <c r="L53" s="19">
        <f>I53-K53</f>
        <v/>
      </c>
      <c r="M53" s="19">
        <f>M52+L53</f>
        <v/>
      </c>
      <c r="N53" s="21">
        <f>IF(I53&gt;=Ipotesi!$B$14,A53,"")</f>
        <v/>
      </c>
      <c r="O53" s="21">
        <f>IF(AND(A53&gt;1,J53&gt;=0),A53,"")</f>
        <v/>
      </c>
      <c r="P53" s="21">
        <f>IF(AND(A53&gt;1,M53&gt;=0),A53,"")</f>
        <v/>
      </c>
      <c r="R53" s="4" t="n">
        <v>36</v>
      </c>
      <c r="S53" s="4" t="n">
        <v>3</v>
      </c>
      <c r="T53" s="4">
        <f>ROUND(C$5*Stagionalità!$B$3,0)</f>
        <v/>
      </c>
      <c r="U53" s="19">
        <f>T53*'Conti per prodotto'!$B$10</f>
        <v/>
      </c>
      <c r="V53" s="19">
        <f>T53*'Conti per prodotto'!$I$10</f>
        <v/>
      </c>
      <c r="W53" s="19">
        <f>T53*'Conti per prodotto'!$O$10</f>
        <v/>
      </c>
      <c r="X53" s="19">
        <f>'Costi B2Brand'!$E$11</f>
        <v/>
      </c>
      <c r="Y53" s="19">
        <f>C$9</f>
        <v/>
      </c>
      <c r="Z53" s="20">
        <f>V53-X53-Y53</f>
        <v/>
      </c>
      <c r="AA53" s="19">
        <f>AA52+Z53</f>
        <v/>
      </c>
      <c r="AB53" s="19">
        <f>('Costi B2Brand'!$E$10-'Costi B2Brand'!$E$11)</f>
        <v/>
      </c>
      <c r="AC53" s="19">
        <f>Z53-AB53</f>
        <v/>
      </c>
      <c r="AD53" s="19">
        <f>AD52+AC53</f>
        <v/>
      </c>
      <c r="AE53" s="21">
        <f>IF(Z53&gt;=Ipotesi!$B$14,R53,"")</f>
        <v/>
      </c>
      <c r="AF53" s="21">
        <f>IF(AND(R53&gt;1,AA53&gt;=0),R53,"")</f>
        <v/>
      </c>
      <c r="AG53" s="21">
        <f>IF(AND(R53&gt;1,AD53&gt;=0),R53,"")</f>
        <v/>
      </c>
      <c r="AI53" s="4" t="n">
        <v>36</v>
      </c>
      <c r="AJ53" s="4" t="n">
        <v>3</v>
      </c>
      <c r="AK53" s="4">
        <f>ROUND(D$5*Stagionalità!$B$3,0)</f>
        <v/>
      </c>
      <c r="AL53" s="19">
        <f>AK53*'Conti per prodotto'!$B$10</f>
        <v/>
      </c>
      <c r="AM53" s="19">
        <f>AK53*'Conti per prodotto'!$I$10</f>
        <v/>
      </c>
      <c r="AN53" s="19">
        <f>AK53*'Conti per prodotto'!$O$10</f>
        <v/>
      </c>
      <c r="AO53" s="19">
        <f>'Costi B2Brand'!$E$11</f>
        <v/>
      </c>
      <c r="AP53" s="19">
        <f>D$9</f>
        <v/>
      </c>
      <c r="AQ53" s="20">
        <f>AM53-AO53-AP53</f>
        <v/>
      </c>
      <c r="AR53" s="19">
        <f>AR52+AQ53</f>
        <v/>
      </c>
      <c r="AS53" s="19">
        <f>('Costi B2Brand'!$E$10-'Costi B2Brand'!$E$11)</f>
        <v/>
      </c>
      <c r="AT53" s="19">
        <f>AQ53-AS53</f>
        <v/>
      </c>
      <c r="AU53" s="19">
        <f>AU52+AT53</f>
        <v/>
      </c>
      <c r="AV53" s="21">
        <f>IF(AQ53&gt;=Ipotesi!$B$14,AI53,"")</f>
        <v/>
      </c>
      <c r="AW53" s="21">
        <f>IF(AND(AI53&gt;1,AR53&gt;=0),AI53,"")</f>
        <v/>
      </c>
      <c r="AX53" s="21">
        <f>IF(AND(AI53&gt;1,AU53&gt;=0),AI53,"")</f>
        <v/>
      </c>
    </row>
    <row r="55">
      <c r="A55" s="6" t="inlineStr">
        <is>
          <t>Ordini anno 1 / 2 / 3</t>
        </is>
      </c>
      <c r="D55" s="22">
        <f>SUM(C18:C29)</f>
        <v/>
      </c>
      <c r="E55" s="22">
        <f>SUM(C30:C41)</f>
        <v/>
      </c>
      <c r="F55" s="22">
        <f>SUM(C42:C53)</f>
        <v/>
      </c>
      <c r="R55" s="6" t="inlineStr">
        <is>
          <t>Ordini anno 1 / 2 / 3</t>
        </is>
      </c>
      <c r="U55" s="22">
        <f>SUM(T18:T29)</f>
        <v/>
      </c>
      <c r="V55" s="22">
        <f>SUM(T30:T41)</f>
        <v/>
      </c>
      <c r="W55" s="22">
        <f>SUM(T42:T53)</f>
        <v/>
      </c>
      <c r="AI55" s="6" t="inlineStr">
        <is>
          <t>Ordini anno 1 / 2 / 3</t>
        </is>
      </c>
      <c r="AL55" s="22">
        <f>SUM(AK18:AK29)</f>
        <v/>
      </c>
      <c r="AM55" s="22">
        <f>SUM(AK30:AK41)</f>
        <v/>
      </c>
      <c r="AN55" s="22">
        <f>SUM(AK42:AK53)</f>
        <v/>
      </c>
    </row>
    <row r="56">
      <c r="A56" s="6" t="inlineStr">
        <is>
          <t>Incasso online anno 1 / 2 / 3</t>
        </is>
      </c>
      <c r="D56" s="22">
        <f>SUM(D18:D29)</f>
        <v/>
      </c>
      <c r="E56" s="22">
        <f>SUM(D30:D41)</f>
        <v/>
      </c>
      <c r="F56" s="22">
        <f>SUM(D42:D53)</f>
        <v/>
      </c>
      <c r="R56" s="6" t="inlineStr">
        <is>
          <t>Incasso online anno 1 / 2 / 3</t>
        </is>
      </c>
      <c r="U56" s="22">
        <f>SUM(U18:U29)</f>
        <v/>
      </c>
      <c r="V56" s="22">
        <f>SUM(U30:U41)</f>
        <v/>
      </c>
      <c r="W56" s="22">
        <f>SUM(U42:U53)</f>
        <v/>
      </c>
      <c r="AI56" s="6" t="inlineStr">
        <is>
          <t>Incasso online anno 1 / 2 / 3</t>
        </is>
      </c>
      <c r="AL56" s="22">
        <f>SUM(AL18:AL29)</f>
        <v/>
      </c>
      <c r="AM56" s="22">
        <f>SUM(AL30:AL41)</f>
        <v/>
      </c>
      <c r="AN56" s="22">
        <f>SUM(AL42:AL53)</f>
        <v/>
      </c>
    </row>
    <row r="57">
      <c r="A57" s="6" t="inlineStr">
        <is>
          <t>Quota B2Brand anno 1 / 2 / 3</t>
        </is>
      </c>
      <c r="D57" s="22">
        <f>SUM(E18:E29)</f>
        <v/>
      </c>
      <c r="E57" s="22">
        <f>SUM(E30:E41)</f>
        <v/>
      </c>
      <c r="F57" s="22">
        <f>SUM(E42:E53)</f>
        <v/>
      </c>
      <c r="R57" s="6" t="inlineStr">
        <is>
          <t>Quota B2Brand anno 1 / 2 / 3</t>
        </is>
      </c>
      <c r="U57" s="22">
        <f>SUM(V18:V29)</f>
        <v/>
      </c>
      <c r="V57" s="22">
        <f>SUM(V30:V41)</f>
        <v/>
      </c>
      <c r="W57" s="22">
        <f>SUM(V42:V53)</f>
        <v/>
      </c>
      <c r="AI57" s="6" t="inlineStr">
        <is>
          <t>Quota B2Brand anno 1 / 2 / 3</t>
        </is>
      </c>
      <c r="AL57" s="22">
        <f>SUM(AM18:AM29)</f>
        <v/>
      </c>
      <c r="AM57" s="22">
        <f>SUM(AM30:AM41)</f>
        <v/>
      </c>
      <c r="AN57" s="22">
        <f>SUM(AM42:AM53)</f>
        <v/>
      </c>
    </row>
    <row r="58">
      <c r="A58" s="6" t="inlineStr">
        <is>
          <t>Netto di CASSA B2Brand anno 1 / 2 / 3</t>
        </is>
      </c>
      <c r="D58" s="22">
        <f>SUM(I18:I29)</f>
        <v/>
      </c>
      <c r="E58" s="22">
        <f>SUM(I30:I41)</f>
        <v/>
      </c>
      <c r="F58" s="22">
        <f>SUM(I42:I53)</f>
        <v/>
      </c>
      <c r="R58" s="6" t="inlineStr">
        <is>
          <t>Netto di CASSA B2Brand anno 1 / 2 / 3</t>
        </is>
      </c>
      <c r="U58" s="22">
        <f>SUM(Z18:Z29)</f>
        <v/>
      </c>
      <c r="V58" s="22">
        <f>SUM(Z30:Z41)</f>
        <v/>
      </c>
      <c r="W58" s="22">
        <f>SUM(Z42:Z53)</f>
        <v/>
      </c>
      <c r="AI58" s="6" t="inlineStr">
        <is>
          <t>Netto di CASSA B2Brand anno 1 / 2 / 3</t>
        </is>
      </c>
      <c r="AL58" s="22">
        <f>SUM(AQ18:AQ29)</f>
        <v/>
      </c>
      <c r="AM58" s="22">
        <f>SUM(AQ30:AQ41)</f>
        <v/>
      </c>
      <c r="AN58" s="22">
        <f>SUM(AQ42:AQ53)</f>
        <v/>
      </c>
    </row>
    <row r="59">
      <c r="A59" s="6" t="inlineStr">
        <is>
          <t>…media al mese</t>
        </is>
      </c>
      <c r="D59" s="22">
        <f>SUM(I18:I29)/12</f>
        <v/>
      </c>
      <c r="E59" s="22">
        <f>SUM(I30:I41)/12</f>
        <v/>
      </c>
      <c r="F59" s="22">
        <f>SUM(I42:I53)/12</f>
        <v/>
      </c>
      <c r="R59" s="6" t="inlineStr">
        <is>
          <t>…media al mese</t>
        </is>
      </c>
      <c r="U59" s="22">
        <f>SUM(Z18:Z29)/12</f>
        <v/>
      </c>
      <c r="V59" s="22">
        <f>SUM(Z30:Z41)/12</f>
        <v/>
      </c>
      <c r="W59" s="22">
        <f>SUM(Z42:Z53)/12</f>
        <v/>
      </c>
      <c r="AI59" s="6" t="inlineStr">
        <is>
          <t>…media al mese</t>
        </is>
      </c>
      <c r="AL59" s="22">
        <f>SUM(AQ18:AQ29)/12</f>
        <v/>
      </c>
      <c r="AM59" s="22">
        <f>SUM(AQ30:AQ41)/12</f>
        <v/>
      </c>
      <c r="AN59" s="22">
        <f>SUM(AQ42:AQ53)/12</f>
        <v/>
      </c>
    </row>
    <row r="60">
      <c r="A60" s="6" t="inlineStr">
        <is>
          <t>Netto a COSTO PIENO anno 1 / 2 / 3</t>
        </is>
      </c>
      <c r="D60" s="22">
        <f>SUM(L18:L29)</f>
        <v/>
      </c>
      <c r="E60" s="22">
        <f>SUM(L30:L41)</f>
        <v/>
      </c>
      <c r="F60" s="22">
        <f>SUM(L42:L53)</f>
        <v/>
      </c>
      <c r="R60" s="6" t="inlineStr">
        <is>
          <t>Netto a COSTO PIENO anno 1 / 2 / 3</t>
        </is>
      </c>
      <c r="U60" s="22">
        <f>SUM(AC18:AC29)</f>
        <v/>
      </c>
      <c r="V60" s="22">
        <f>SUM(AC30:AC41)</f>
        <v/>
      </c>
      <c r="W60" s="22">
        <f>SUM(AC42:AC53)</f>
        <v/>
      </c>
      <c r="AI60" s="6" t="inlineStr">
        <is>
          <t>Netto a COSTO PIENO anno 1 / 2 / 3</t>
        </is>
      </c>
      <c r="AL60" s="22">
        <f>SUM(AT18:AT29)</f>
        <v/>
      </c>
      <c r="AM60" s="22">
        <f>SUM(AT30:AT41)</f>
        <v/>
      </c>
      <c r="AN60" s="22">
        <f>SUM(AT42:AT53)</f>
        <v/>
      </c>
    </row>
    <row r="61">
      <c r="A61" s="6" t="inlineStr">
        <is>
          <t>Margine Kalab anno 1 / 2 / 3</t>
        </is>
      </c>
      <c r="D61" s="22">
        <f>SUM(F18:F29)</f>
        <v/>
      </c>
      <c r="E61" s="22">
        <f>SUM(F30:F41)</f>
        <v/>
      </c>
      <c r="F61" s="22">
        <f>SUM(F42:F53)</f>
        <v/>
      </c>
      <c r="R61" s="6" t="inlineStr">
        <is>
          <t>Margine Kalab anno 1 / 2 / 3</t>
        </is>
      </c>
      <c r="U61" s="22">
        <f>SUM(W18:W29)</f>
        <v/>
      </c>
      <c r="V61" s="22">
        <f>SUM(W30:W41)</f>
        <v/>
      </c>
      <c r="W61" s="22">
        <f>SUM(W42:W53)</f>
        <v/>
      </c>
      <c r="AI61" s="6" t="inlineStr">
        <is>
          <t>Margine Kalab anno 1 / 2 / 3</t>
        </is>
      </c>
      <c r="AL61" s="22">
        <f>SUM(AN18:AN29)</f>
        <v/>
      </c>
      <c r="AM61" s="22">
        <f>SUM(AN30:AN41)</f>
        <v/>
      </c>
      <c r="AN61" s="22">
        <f>SUM(AN42:AN53)</f>
        <v/>
      </c>
    </row>
    <row r="62">
      <c r="A62" s="6" t="inlineStr">
        <is>
          <t>Primo mese con netto di cassa ≥ obiettivo</t>
        </is>
      </c>
      <c r="D62" s="22">
        <f>IF(MIN(N18:N53)=0,"oltre 36",MIN(N18:N53))</f>
        <v/>
      </c>
      <c r="R62" s="6" t="inlineStr">
        <is>
          <t>Primo mese con netto di cassa ≥ obiettivo</t>
        </is>
      </c>
      <c r="U62" s="22">
        <f>IF(MIN(AE18:AE53)=0,"oltre 36",MIN(AE18:AE53))</f>
        <v/>
      </c>
      <c r="AI62" s="6" t="inlineStr">
        <is>
          <t>Primo mese con netto di cassa ≥ obiettivo</t>
        </is>
      </c>
      <c r="AL62" s="22">
        <f>IF(MIN(AV18:AV53)=0,"oltre 36",MIN(AV18:AV53))</f>
        <v/>
      </c>
    </row>
    <row r="63">
      <c r="A63" s="6" t="inlineStr">
        <is>
          <t>Primo mese col cumulato di cassa ≥ 0</t>
        </is>
      </c>
      <c r="D63" s="22">
        <f>IF(MIN(O18:O53)=0,"oltre 36",MIN(O18:O53))</f>
        <v/>
      </c>
      <c r="R63" s="6" t="inlineStr">
        <is>
          <t>Primo mese col cumulato di cassa ≥ 0</t>
        </is>
      </c>
      <c r="U63" s="22">
        <f>IF(MIN(AF18:AF53)=0,"oltre 36",MIN(AF18:AF53))</f>
        <v/>
      </c>
      <c r="AI63" s="6" t="inlineStr">
        <is>
          <t>Primo mese col cumulato di cassa ≥ 0</t>
        </is>
      </c>
      <c r="AL63" s="22">
        <f>IF(MIN(AW18:AW53)=0,"oltre 36",MIN(AW18:AW53))</f>
        <v/>
      </c>
    </row>
    <row r="64">
      <c r="A64" s="6" t="inlineStr">
        <is>
          <t>Primo mese col cumulato a costo pieno ≥ 0</t>
        </is>
      </c>
      <c r="D64" s="22">
        <f>IF(MIN(P18:P53)=0,"oltre 36",MIN(P18:P53))</f>
        <v/>
      </c>
      <c r="R64" s="6" t="inlineStr">
        <is>
          <t>Primo mese col cumulato a costo pieno ≥ 0</t>
        </is>
      </c>
      <c r="U64" s="22">
        <f>IF(MIN(AG18:AG53)=0,"oltre 36",MIN(AG18:AG53))</f>
        <v/>
      </c>
      <c r="AI64" s="6" t="inlineStr">
        <is>
          <t>Primo mese col cumulato a costo pieno ≥ 0</t>
        </is>
      </c>
      <c r="AL64" s="22">
        <f>IF(MIN(AX18:AX53)=0,"oltre 36",MIN(AX18:AX53))</f>
        <v/>
      </c>
    </row>
    <row r="65">
      <c r="A65" s="6" t="inlineStr">
        <is>
          <t>Esposizione massima di cassa (€)</t>
        </is>
      </c>
      <c r="D65" s="22">
        <f>MIN(0,MIN(J18:J53))</f>
        <v/>
      </c>
      <c r="R65" s="6" t="inlineStr">
        <is>
          <t>Esposizione massima di cassa (€)</t>
        </is>
      </c>
      <c r="U65" s="22">
        <f>MIN(0,MIN(AA18:AA53))</f>
        <v/>
      </c>
      <c r="AI65" s="6" t="inlineStr">
        <is>
          <t>Esposizione massima di cassa (€)</t>
        </is>
      </c>
      <c r="AL65" s="22">
        <f>MIN(0,MIN(AR18:AR53))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  <col width="18" customWidth="1" min="4" max="4"/>
    <col width="18" customWidth="1" min="5" max="5"/>
  </cols>
  <sheetData>
    <row r="1">
      <c r="A1" s="17" t="inlineStr">
        <is>
          <t>Corsa pomeridiana all'hub contro magazzino conto terzi (3PL), per prodotti non deperibili</t>
        </is>
      </c>
    </row>
    <row r="3">
      <c r="A3" s="4" t="inlineStr">
        <is>
          <t>Km di andata Scalea → hub (Battipaglia)</t>
        </is>
      </c>
      <c r="B3" s="5" t="n">
        <v>149</v>
      </c>
      <c r="C3" t="inlineStr">
        <is>
          <t>rome2rio, 149 km, 1 h 44 (letto il 04/10/2026)</t>
        </is>
      </c>
    </row>
    <row r="4">
      <c r="A4" s="4" t="inlineStr">
        <is>
          <t>Ore di guida di andata</t>
        </is>
      </c>
      <c r="B4" s="5" t="n">
        <v>1.75</v>
      </c>
      <c r="C4" t="inlineStr">
        <is>
          <t>rome2rio 1 h 44; arrotondato</t>
        </is>
      </c>
    </row>
    <row r="5">
      <c r="A5" s="4" t="inlineStr">
        <is>
          <t>Carburante di andata (€)</t>
        </is>
      </c>
      <c r="B5" s="5" t="n">
        <v>30</v>
      </c>
      <c r="C5" t="inlineStr">
        <is>
          <t>rome2rio 24-35 € a tratta</t>
        </is>
      </c>
    </row>
    <row r="6">
      <c r="A6" s="4" t="inlineStr">
        <is>
          <t>Usura, gomme, manutenzione (€/km)</t>
        </is>
      </c>
      <c r="B6" s="5" t="n">
        <v>0.1</v>
      </c>
      <c r="C6" t="inlineStr">
        <is>
          <t>STIMA</t>
        </is>
      </c>
    </row>
    <row r="7">
      <c r="A7" s="4" t="inlineStr">
        <is>
          <t>Ore al deposito (consegna pacchi)</t>
        </is>
      </c>
      <c r="B7" s="5" t="n">
        <v>0.5</v>
      </c>
      <c r="C7" t="inlineStr">
        <is>
          <t>STIMA</t>
        </is>
      </c>
    </row>
    <row r="8">
      <c r="A8" s="4" t="inlineStr">
        <is>
          <t>Corse al mese</t>
        </is>
      </c>
      <c r="B8" s="5" t="n">
        <v>22</v>
      </c>
      <c r="C8" t="inlineStr">
        <is>
          <t>una ogni giorno lavorativo</t>
        </is>
      </c>
    </row>
    <row r="9">
      <c r="A9" s="4" t="inlineStr">
        <is>
          <t>Valore di un'ora di chi guida (€)</t>
        </is>
      </c>
      <c r="B9" s="5" t="n">
        <v>15</v>
      </c>
      <c r="C9" t="inlineStr">
        <is>
          <t>IPOTESI: un'ora tolta al campo o al laboratorio</t>
        </is>
      </c>
    </row>
    <row r="10">
      <c r="A10" s="4" t="inlineStr">
        <is>
          <t>3PL: picking + packing per ordine (€)</t>
        </is>
      </c>
      <c r="B10" s="5" t="n">
        <v>2</v>
      </c>
      <c r="C10" t="inlineStr">
        <is>
          <t>Tissquad 01/04/2026: picking 0,80-1,50 + packing 0,50-1,00</t>
        </is>
      </c>
    </row>
    <row r="11">
      <c r="A11" s="4" t="inlineStr">
        <is>
          <t>3PL: materiali per pacco (€)</t>
        </is>
      </c>
      <c r="B11" s="5" t="n">
        <v>0.75</v>
      </c>
      <c r="C11" t="inlineStr">
        <is>
          <t>Tissquad: 0,50-1,00</t>
        </is>
      </c>
    </row>
    <row r="12">
      <c r="A12" s="4" t="inlineStr">
        <is>
          <t>3PL: costo di un pallet al mese (€)</t>
        </is>
      </c>
      <c r="B12" s="5" t="n">
        <v>40</v>
      </c>
      <c r="C12" t="inlineStr">
        <is>
          <t>Tissquad: 25-50 €/pallet/mese</t>
        </is>
      </c>
    </row>
    <row r="13">
      <c r="A13" s="4" t="inlineStr">
        <is>
          <t>3PL: pallet occupati</t>
        </is>
      </c>
      <c r="B13" s="5" t="n">
        <v>2</v>
      </c>
      <c r="C13" t="inlineStr">
        <is>
          <t>IPOTESI: 2 pallet di vasetti bastano per 2-3 mesi</t>
        </is>
      </c>
    </row>
    <row r="14">
      <c r="A14" s="4" t="inlineStr">
        <is>
          <t>3PL: rifornimento al mese da Scalea (€)</t>
        </is>
      </c>
      <c r="B14" s="5" t="n">
        <v>90</v>
      </c>
      <c r="C14" t="inlineStr">
        <is>
          <t>STIMA: una corsa al mese o un bancale col corriere</t>
        </is>
      </c>
    </row>
    <row r="15">
      <c r="A15" s="4" t="inlineStr">
        <is>
          <t>3PL: spedizione dall'hub, 0-2 kg (€)</t>
        </is>
      </c>
      <c r="B15" s="5" t="n">
        <v>5</v>
      </c>
      <c r="C15" t="inlineStr">
        <is>
          <t>Tissquad: Nord 3,50-5,00; da Scalea oggi 7-7,50 (03)</t>
        </is>
      </c>
    </row>
    <row r="17">
      <c r="A17" s="6" t="inlineStr">
        <is>
          <t>Una corsa (andata e ritorno): euro</t>
        </is>
      </c>
      <c r="B17" s="7">
        <f>2*Logistica!$B$5+2*Logistica!$B$3*Logistica!$B$6</f>
        <v/>
      </c>
    </row>
    <row r="18">
      <c r="A18" s="6" t="inlineStr">
        <is>
          <t>Una corsa: ore</t>
        </is>
      </c>
      <c r="B18" s="7">
        <f>2*Logistica!$B$4+Logistica!$B$7</f>
        <v/>
      </c>
    </row>
    <row r="19">
      <c r="A19" s="6" t="inlineStr">
        <is>
          <t>Al mese: euro / ore</t>
        </is>
      </c>
      <c r="B19" s="7">
        <f>B17*Logistica!$B$8</f>
        <v/>
      </c>
      <c r="C19" s="7">
        <f>B18*Logistica!$B$8</f>
        <v/>
      </c>
    </row>
    <row r="21" ht="36" customHeight="1">
      <c r="A21" s="3" t="inlineStr">
        <is>
          <t>Ordini al mese</t>
        </is>
      </c>
      <c r="B21" s="3" t="inlineStr">
        <is>
          <t>Corsa: € per ordine</t>
        </is>
      </c>
      <c r="C21" s="3" t="inlineStr">
        <is>
          <t>Corsa con il tempo: € per ordine</t>
        </is>
      </c>
      <c r="D21" s="3" t="inlineStr">
        <is>
          <t>3PL: € per ordine</t>
        </is>
      </c>
      <c r="E21" s="3" t="inlineStr">
        <is>
          <t>3PL meno risparmio di spedizione e imballo</t>
        </is>
      </c>
    </row>
    <row r="22">
      <c r="A22" s="8" t="n">
        <v>50</v>
      </c>
      <c r="B22" s="13">
        <f>Logistica!$B$19/A22</f>
        <v/>
      </c>
      <c r="C22" s="13">
        <f>(Logistica!$B$19+Logistica!$C$19*Logistica!$B$9)/A22</f>
        <v/>
      </c>
      <c r="D22" s="13">
        <f>Logistica!$B$10+Logistica!$B$11+(Logistica!$B$12*Logistica!$B$13+Logistica!$B$14)/A22</f>
        <v/>
      </c>
      <c r="E22" s="13">
        <f>D22-('Conti per prodotto'!$M$10-Logistica!$B$15)-'Conti per prodotto'!$L$10</f>
        <v/>
      </c>
    </row>
    <row r="23">
      <c r="A23" s="8" t="n">
        <v>100</v>
      </c>
      <c r="B23" s="13">
        <f>Logistica!$B$19/A23</f>
        <v/>
      </c>
      <c r="C23" s="13">
        <f>(Logistica!$B$19+Logistica!$C$19*Logistica!$B$9)/A23</f>
        <v/>
      </c>
      <c r="D23" s="13">
        <f>Logistica!$B$10+Logistica!$B$11+(Logistica!$B$12*Logistica!$B$13+Logistica!$B$14)/A23</f>
        <v/>
      </c>
      <c r="E23" s="13">
        <f>D23-('Conti per prodotto'!$M$10-Logistica!$B$15)-'Conti per prodotto'!$L$10</f>
        <v/>
      </c>
    </row>
    <row r="24">
      <c r="A24" s="8" t="n">
        <v>150</v>
      </c>
      <c r="B24" s="13">
        <f>Logistica!$B$19/A24</f>
        <v/>
      </c>
      <c r="C24" s="13">
        <f>(Logistica!$B$19+Logistica!$C$19*Logistica!$B$9)/A24</f>
        <v/>
      </c>
      <c r="D24" s="13">
        <f>Logistica!$B$10+Logistica!$B$11+(Logistica!$B$12*Logistica!$B$13+Logistica!$B$14)/A24</f>
        <v/>
      </c>
      <c r="E24" s="13">
        <f>D24-('Conti per prodotto'!$M$10-Logistica!$B$15)-'Conti per prodotto'!$L$10</f>
        <v/>
      </c>
    </row>
    <row r="25">
      <c r="A25" s="8" t="n">
        <v>300</v>
      </c>
      <c r="B25" s="13">
        <f>Logistica!$B$19/A25</f>
        <v/>
      </c>
      <c r="C25" s="13">
        <f>(Logistica!$B$19+Logistica!$C$19*Logistica!$B$9)/A25</f>
        <v/>
      </c>
      <c r="D25" s="13">
        <f>Logistica!$B$10+Logistica!$B$11+(Logistica!$B$12*Logistica!$B$13+Logistica!$B$14)/A25</f>
        <v/>
      </c>
      <c r="E25" s="13">
        <f>D25-('Conti per prodotto'!$M$10-Logistica!$B$15)-'Conti per prodotto'!$L$10</f>
        <v/>
      </c>
    </row>
    <row r="26">
      <c r="A26" s="8" t="n">
        <v>600</v>
      </c>
      <c r="B26" s="13">
        <f>Logistica!$B$19/A26</f>
        <v/>
      </c>
      <c r="C26" s="13">
        <f>(Logistica!$B$19+Logistica!$C$19*Logistica!$B$9)/A26</f>
        <v/>
      </c>
      <c r="D26" s="13">
        <f>Logistica!$B$10+Logistica!$B$11+(Logistica!$B$12*Logistica!$B$13+Logistica!$B$14)/A26</f>
        <v/>
      </c>
      <c r="E26" s="13">
        <f>D26-('Conti per prodotto'!$M$10-Logistica!$B$15)-'Conti per prodotto'!$L$10</f>
        <v/>
      </c>
    </row>
    <row r="27">
      <c r="A27" s="8" t="n">
        <v>1000</v>
      </c>
      <c r="B27" s="13">
        <f>Logistica!$B$19/A27</f>
        <v/>
      </c>
      <c r="C27" s="13">
        <f>(Logistica!$B$19+Logistica!$C$19*Logistica!$B$9)/A27</f>
        <v/>
      </c>
      <c r="D27" s="13">
        <f>Logistica!$B$10+Logistica!$B$11+(Logistica!$B$12*Logistica!$B$13+Logistica!$B$14)/A27</f>
        <v/>
      </c>
      <c r="E27" s="13">
        <f>D27-('Conti per prodotto'!$M$10-Logistica!$B$15)-'Conti per prodotto'!$L$10</f>
        <v/>
      </c>
    </row>
    <row r="29">
      <c r="A29" t="inlineStr">
        <is>
          <t>Lettura: la corsa costa uguale con 50 o con 1.000 ordini, quindi pesa per ordine solo quando i volumi sono alti. Il 3PL costa per ordine ma toglie l'imballo e la spedizione da Calabria (più cara e con un giorno in più). Colonna E: costo netto del 3PL rispetto a spedire da Scalea; vicino a zero = conviene già.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80" customWidth="1" min="7" max="7"/>
  </cols>
  <sheetData>
    <row r="1">
      <c r="A1" s="17" t="inlineStr">
        <is>
          <t>Cosa succede a un ordine medio con diversi accordi (scenario medio, anno 1)</t>
        </is>
      </c>
    </row>
    <row r="2" ht="40" customHeight="1">
      <c r="A2" s="3" t="inlineStr">
        <is>
          <t>Accordo</t>
        </is>
      </c>
      <c r="B2" s="3" t="inlineStr">
        <is>
          <t>Base (lordo/netto)</t>
        </is>
      </c>
      <c r="C2" s="3" t="inlineStr">
        <is>
          <t>Quota %</t>
        </is>
      </c>
      <c r="D2" s="3" t="inlineStr">
        <is>
          <t>B2Brand per ordine (€)</t>
        </is>
      </c>
      <c r="E2" s="3" t="inlineStr">
        <is>
          <t>Kalab margine per ordine (€)</t>
        </is>
      </c>
      <c r="F2" s="3" t="inlineStr">
        <is>
          <t>Kalab margine % prezzo</t>
        </is>
      </c>
      <c r="G2" s="3" t="inlineStr">
        <is>
          <t>Commento</t>
        </is>
      </c>
    </row>
    <row r="3">
      <c r="A3" s="4" t="inlineStr">
        <is>
          <t>50% dell'incasso lordo (proposta di Kalab)</t>
        </is>
      </c>
      <c r="B3" s="5" t="inlineStr">
        <is>
          <t>lordo</t>
        </is>
      </c>
      <c r="C3" s="23" t="n">
        <v>0.5</v>
      </c>
      <c r="D3" s="12">
        <f>IF(B3="lordo",'Conti per prodotto'!$H$10,'Conti per prodotto'!$G$10)*C3</f>
        <v/>
      </c>
      <c r="E3" s="12">
        <f>'Conti per prodotto'!$O$10+'Conti per prodotto'!$I$10-D3</f>
        <v/>
      </c>
      <c r="F3" s="24">
        <f>E3/'Conti per prodotto'!$B$10</f>
        <v/>
      </c>
      <c r="G3" t="inlineStr">
        <is>
          <t>Quota su merce + spedizione incassata, IVA inclusa: la lettura letterale di «50% dell'incasso».</t>
        </is>
      </c>
    </row>
    <row r="4">
      <c r="A4" s="4" t="inlineStr">
        <is>
          <t>50% dell'incassato netto (senza IVA, spedizione e commissioni)</t>
        </is>
      </c>
      <c r="B4" s="5" t="inlineStr">
        <is>
          <t>netto</t>
        </is>
      </c>
      <c r="C4" s="23" t="n">
        <v>0.5</v>
      </c>
      <c r="D4" s="12">
        <f>IF(B4="lordo",'Conti per prodotto'!$H$10,'Conti per prodotto'!$G$10)*C4</f>
        <v/>
      </c>
      <c r="E4" s="12">
        <f>'Conti per prodotto'!$O$10+'Conti per prodotto'!$I$10-D4</f>
        <v/>
      </c>
      <c r="F4" s="24">
        <f>E4/'Conti per prodotto'!$B$10</f>
        <v/>
      </c>
      <c r="G4" t="inlineStr">
        <is>
          <t>Stessa percentuale, base più piccola: è la prassi del settore (07 B1e).</t>
        </is>
      </c>
    </row>
    <row r="5">
      <c r="A5" s="4" t="inlineStr">
        <is>
          <t>40% dell'incassato netto</t>
        </is>
      </c>
      <c r="B5" s="5" t="inlineStr">
        <is>
          <t>netto</t>
        </is>
      </c>
      <c r="C5" s="23" t="n">
        <v>0.4</v>
      </c>
      <c r="D5" s="12">
        <f>IF(B5="lordo",'Conti per prodotto'!$H$10,'Conti per prodotto'!$G$10)*C5</f>
        <v/>
      </c>
      <c r="E5" s="12">
        <f>'Conti per prodotto'!$O$10+'Conti per prodotto'!$I$10-D5</f>
        <v/>
      </c>
      <c r="F5" s="24">
        <f>E5/'Conti per prodotto'!$B$10</f>
        <v/>
      </c>
      <c r="G5" t="inlineStr">
        <is>
          <t>Primo scaglione proposto: fino al rientro documentato dell'anticipo di B2Brand.</t>
        </is>
      </c>
    </row>
    <row r="6">
      <c r="A6" s="4" t="inlineStr">
        <is>
          <t>30% dell'incassato netto</t>
        </is>
      </c>
      <c r="B6" s="5" t="inlineStr">
        <is>
          <t>netto</t>
        </is>
      </c>
      <c r="C6" s="23" t="n">
        <v>0.3</v>
      </c>
      <c r="D6" s="12">
        <f>IF(B6="lordo",'Conti per prodotto'!$H$10,'Conti per prodotto'!$G$10)*C6</f>
        <v/>
      </c>
      <c r="E6" s="12">
        <f>'Conti per prodotto'!$O$10+'Conti per prodotto'!$I$10-D6</f>
        <v/>
      </c>
      <c r="F6" s="24">
        <f>E6/'Conti per prodotto'!$B$10</f>
        <v/>
      </c>
      <c r="G6" t="inlineStr">
        <is>
          <t>Secondo scaglione, dopo il rientro. Fascia alta dell'outsourcing italiano (15-30%, 07).</t>
        </is>
      </c>
    </row>
    <row r="7">
      <c r="A7" s="4" t="inlineStr">
        <is>
          <t>20% dell'incassato netto</t>
        </is>
      </c>
      <c r="B7" s="5" t="inlineStr">
        <is>
          <t>netto</t>
        </is>
      </c>
      <c r="C7" s="23" t="n">
        <v>0.2</v>
      </c>
      <c r="D7" s="12">
        <f>IF(B7="lordo",'Conti per prodotto'!$H$10,'Conti per prodotto'!$G$10)*C7</f>
        <v/>
      </c>
      <c r="E7" s="12">
        <f>'Conti per prodotto'!$O$10+'Conti per prodotto'!$I$10-D7</f>
        <v/>
      </c>
      <c r="F7" s="24">
        <f>E7/'Conti per prodotto'!$B$10</f>
        <v/>
      </c>
      <c r="G7" t="inlineStr">
        <is>
          <t>Terzo scaglione sopra una soglia annua. Sotto, B2Brand non copre nemmeno le ore.</t>
        </is>
      </c>
    </row>
    <row r="8">
      <c r="A8" s="4" t="inlineStr">
        <is>
          <t>10% netto sugli ordini B2B passati dal sito</t>
        </is>
      </c>
      <c r="B8" s="5" t="inlineStr">
        <is>
          <t>netto</t>
        </is>
      </c>
      <c r="C8" s="23" t="n">
        <v>0.1</v>
      </c>
      <c r="D8" s="12">
        <f>IF(B8="lordo",'Conti per prodotto'!$H$10,'Conti per prodotto'!$G$10)*C8</f>
        <v/>
      </c>
      <c r="E8" s="12">
        <f>'Conti per prodotto'!$O$10+'Conti per prodotto'!$I$10-D8</f>
        <v/>
      </c>
      <c r="F8" s="24">
        <f>E8/'Conti per prodotto'!$B$10</f>
        <v/>
      </c>
      <c r="G8" t="inlineStr">
        <is>
          <t>Per ristoranti, bar e botteghe che ordinano dal sito con listino riservato: volumi alti, margine basso.</t>
        </is>
      </c>
    </row>
    <row r="10">
      <c r="A10" t="inlineStr">
        <is>
          <t>Lettura: l'ordine medio è quello del foglio Conti (mix di categorie). Il margine di Kalab è dopo prodotto, imballo, spedizione vera e perdite. Per vedere l'effetto sui 36 mesi, cambiare quota e base nel foglio Ipotesi.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2026-10-04T12:40:59Z</dcterms:created>
  <dcterms:modified xmlns:dcterms="http://purl.org/dc/terms/" xmlns:xsi="http://www.w3.org/2001/XMLSchema-instance" xsi:type="dcterms:W3CDTF">2026-10-04T12:40:59Z</dcterms:modified>
</cp:coreProperties>
</file>