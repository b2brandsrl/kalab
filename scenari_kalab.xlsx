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Ipotesi" sheetId="2" state="visible" r:id="rId2"/>
    <sheet xmlns:r="http://schemas.openxmlformats.org/officeDocument/2006/relationships" name="Conti per prodotto" sheetId="3" state="visible" r:id="rId3"/>
    <sheet xmlns:r="http://schemas.openxmlformats.org/officeDocument/2006/relationships" name="Costi B2Brand" sheetId="4" state="visible" r:id="rId4"/>
    <sheet xmlns:r="http://schemas.openxmlformats.org/officeDocument/2006/relationships" name="Stagionalità" sheetId="5" state="visible" r:id="rId5"/>
    <sheet xmlns:r="http://schemas.openxmlformats.org/officeDocument/2006/relationships" name="Scenari" sheetId="6" state="visible" r:id="rId6"/>
    <sheet xmlns:r="http://schemas.openxmlformats.org/officeDocument/2006/relationships" name="Confronto accord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wrapText="1"/>
    </xf>
    <xf numFmtId="0" fontId="0" fillId="0" borderId="1" pivotButton="0" quotePrefix="0" xfId="0"/>
    <xf numFmtId="0" fontId="0" fillId="3" borderId="1" pivotButton="0" quotePrefix="0" xfId="0"/>
    <xf numFmtId="0" fontId="2" fillId="0" borderId="0" pivotButton="0" quotePrefix="0" xfId="0"/>
    <xf numFmtId="0" fontId="0" fillId="4" borderId="0" pivotButton="0" quotePrefix="0" xfId="0"/>
    <xf numFmtId="0" fontId="0" fillId="3" borderId="0" pivotButton="0" quotePrefix="0" xfId="0"/>
    <xf numFmtId="2" fontId="0" fillId="0" borderId="1" pivotButton="0" quotePrefix="0" xfId="0"/>
    <xf numFmtId="2" fontId="0" fillId="4" borderId="1" pivotButton="0" quotePrefix="0" xfId="0"/>
    <xf numFmtId="9" fontId="0" fillId="0" borderId="1" pivotButton="0" quotePrefix="0" xfId="0"/>
    <xf numFmtId="2" fontId="0" fillId="4" borderId="0" pivotButton="0" quotePrefix="0" xfId="0"/>
    <xf numFmtId="9" fontId="0" fillId="4" borderId="0" pivotButton="0" quotePrefix="0" xfId="0"/>
    <xf numFmtId="0" fontId="2" fillId="2" borderId="1" pivotButton="0" quotePrefix="0" xfId="0"/>
    <xf numFmtId="0" fontId="2" fillId="4" borderId="0" pivotButton="0" quotePrefix="0" xfId="0"/>
    <xf numFmtId="0" fontId="3" fillId="0" borderId="0" pivotButton="0" quotePrefix="0" xfId="0"/>
    <xf numFmtId="3" fontId="0" fillId="0" borderId="1" pivotButton="0" quotePrefix="0" xfId="0"/>
    <xf numFmtId="3" fontId="0" fillId="4" borderId="0" pivotButton="0" quotePrefix="0" xfId="0"/>
    <xf numFmtId="9" fontId="0" fillId="3" borderId="1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Scenari Kalab × B2Brand — come usare questo foglio</t>
        </is>
      </c>
    </row>
    <row r="2">
      <c r="A2" s="2" t="inlineStr"/>
    </row>
    <row r="3">
      <c r="A3" s="2" t="inlineStr">
        <is>
          <t>Le celle AZZURRE sono ipotesi: cambiale e tutto il resto si ricalcola. Le celle VERDI sono i risultati da guardare.</t>
        </is>
      </c>
    </row>
    <row r="4">
      <c r="A4" s="2" t="inlineStr"/>
    </row>
    <row r="5">
      <c r="A5" s="2" t="inlineStr">
        <is>
          <t>Fogli:</t>
        </is>
      </c>
    </row>
    <row r="6">
      <c r="A6" s="2" t="inlineStr">
        <is>
          <t>• Ipotesi — un «ordine tipo» per categoria di prodotto: prezzo, IVA, costi, spedizione, commissioni, quota del mix. In fondo: la percentuale di B2Brand e su cosa si calcola («lordo» = merce + spedizione incassata, IVA inclusa; «netto» = merce senza IVA e senza commissioni).</t>
        </is>
      </c>
    </row>
    <row r="7">
      <c r="A7" s="2" t="inlineStr">
        <is>
          <t>• Conti per prodotto — per ogni ordine tipo: quanto va a B2Brand, quanto resta a Kalab dopo prodotto, imballo, spedizione e perdite. Colonna O: se è vicina a zero, con quella percentuale Kalab lavora gratis.</t>
        </is>
      </c>
    </row>
    <row r="8">
      <c r="A8" s="2" t="inlineStr">
        <is>
          <t>• Costi B2Brand — quello che B2Brand anticipa (una tantum) e spende ogni mese (ore interne comprese).</t>
        </is>
      </c>
    </row>
    <row r="9">
      <c r="A9" s="2" t="inlineStr">
        <is>
          <t>• Stagionalità — peso di ogni mese (media = 1). Costruita da Google Trends e dai dati del Natale online (ricerca/08_trends.md, 01_mercato.md).</t>
        </is>
      </c>
    </row>
    <row r="10">
      <c r="A10" s="2" t="inlineStr">
        <is>
          <t>• Scenari — tre scenari (prudente, medio, ambizioso) mese per mese per 36 mesi: ordini, incasso, quota B2Brand, costi, cumulato e mese di rientro. Le 7 righe azzurre in alto sono le leve.</t>
        </is>
      </c>
    </row>
    <row r="11">
      <c r="A11" s="2" t="inlineStr">
        <is>
          <t>• Confronto accordi — lo stesso ordine medio con percentuali diverse: cosa prende B2Brand e cosa resta a Kalab.</t>
        </is>
      </c>
    </row>
    <row r="12">
      <c r="A12" s="2" t="inlineStr"/>
    </row>
    <row r="13">
      <c r="A13" s="2" t="inlineStr">
        <is>
          <t>Avvertenze:</t>
        </is>
      </c>
    </row>
    <row r="14">
      <c r="A14" s="2" t="inlineStr">
        <is>
          <t>• Tutti i numeri di partenza sono STIME dichiarate nel report (REPORT_fattibilita_kalab.md): nessun dato di Kalab è ancora arrivato. Quando arrivano fatturato, costi e volumi veri, si sostituiscono qui.</t>
        </is>
      </c>
    </row>
    <row r="15">
      <c r="A15" s="2" t="inlineStr">
        <is>
          <t>• L'IVA è calcolata solo sulla merce (per semplicità); sulla spedizione incassata l'IVA segue il bene. Le aliquote (10% trasformati e semi, 4% fresco) sono da confermare col commercialista.</t>
        </is>
      </c>
    </row>
    <row r="16">
      <c r="A16" s="2" t="inlineStr">
        <is>
          <t>• La quota di B2Brand è calcolata senza IVA: se B2Brand fattura «+ IVA 22%» e Kalab è nel regime speciale agricolo, per Kalab quella IVA è un costo in più (vedi report, capitolo 6).</t>
        </is>
      </c>
    </row>
    <row r="17">
      <c r="A17" s="2" t="inlineStr">
        <is>
          <t>• Il mese 1 del piano è marzo 2027 (ipotesi: accordo a ottobre-novembre 2026, costruzione 3-4 mesi). Si cambia nel codice (scenari/ipotesi.py, mese_avvio).</t>
        </is>
      </c>
    </row>
    <row r="18">
      <c r="A18" s="2" t="inlineStr"/>
    </row>
    <row r="19">
      <c r="A19" s="2" t="inlineStr">
        <is>
          <t>Generato da scenari/genera_xlsx.py il 02/10/2026. Per rigenerarlo: python3 scenari/genera_xlsx.py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70" customWidth="1" min="12" max="12"/>
  </cols>
  <sheetData>
    <row r="1" ht="48" customHeight="1">
      <c r="A1" s="3" t="inlineStr">
        <is>
          <t>Categoria</t>
        </is>
      </c>
      <c r="B1" s="3" t="inlineStr">
        <is>
          <t>Prezzo medio al pubblico (€, IVA incl.)</t>
        </is>
      </c>
      <c r="C1" s="3" t="inlineStr">
        <is>
          <t>IVA %</t>
        </is>
      </c>
      <c r="D1" s="3" t="inlineStr">
        <is>
          <t>Costo prodotto (€)</t>
        </is>
      </c>
      <c r="E1" s="3" t="inlineStr">
        <is>
          <t>Imballo (€)</t>
        </is>
      </c>
      <c r="F1" s="3" t="inlineStr">
        <is>
          <t>Spedizione pagata dal cliente (€)</t>
        </is>
      </c>
      <c r="G1" s="3" t="inlineStr">
        <is>
          <t>Spedizione costo vero (€)</t>
        </is>
      </c>
      <c r="H1" s="3" t="inlineStr">
        <is>
          <t>Commissione pagamento %</t>
        </is>
      </c>
      <c r="I1" s="3" t="inlineStr">
        <is>
          <t>Commissione pagamento fissa (€)</t>
        </is>
      </c>
      <c r="J1" s="3" t="inlineStr">
        <is>
          <t>Tasso resi/perdite %</t>
        </is>
      </c>
      <c r="K1" s="3" t="inlineStr">
        <is>
          <t>Quota del mix ordini %</t>
        </is>
      </c>
      <c r="L1" s="3" t="inlineStr">
        <is>
          <t>Fonte / nota</t>
        </is>
      </c>
    </row>
    <row r="2">
      <c r="A2" s="4" t="inlineStr">
        <is>
          <t>Polveri e secco (4 vasetti 12-15 g o 2 + sacchetti)</t>
        </is>
      </c>
      <c r="B2" s="5" t="n">
        <v>28</v>
      </c>
      <c r="C2" s="5" t="n">
        <v>0.1</v>
      </c>
      <c r="D2" s="5" t="n">
        <v>4.2</v>
      </c>
      <c r="E2" s="5" t="n">
        <v>0.8</v>
      </c>
      <c r="F2" s="5" t="n">
        <v>5.9</v>
      </c>
      <c r="G2" s="5" t="n">
        <v>7</v>
      </c>
      <c r="H2" s="5" t="n">
        <v>0.02</v>
      </c>
      <c r="I2" s="5" t="n">
        <v>0.25</v>
      </c>
      <c r="J2" s="5" t="n">
        <v>0.01</v>
      </c>
      <c r="K2" s="5" t="n">
        <v>0.25</v>
      </c>
      <c r="L2" s="4" t="inlineStr">
        <is>
          <t>Prezzi: Peperita 12 g 4,95-11,50 €, calabresi 50-100 g 3,50-6 € (ricerca 02/04). Costo STIMA ~0,9 €/vasetto (04 §5.2). Spedizione: secco 1 kg Italia 6-11 € a listino, 7 € con tariffa negoziata (03).</t>
        </is>
      </c>
    </row>
    <row r="3">
      <c r="A3" s="4" t="inlineStr">
        <is>
          <t>Salse e creme (3 vasetti 90-130 g)</t>
        </is>
      </c>
      <c r="B3" s="5" t="n">
        <v>24</v>
      </c>
      <c r="C3" s="5" t="n">
        <v>0.1</v>
      </c>
      <c r="D3" s="5" t="n">
        <v>6.8</v>
      </c>
      <c r="E3" s="5" t="n">
        <v>1.2</v>
      </c>
      <c r="F3" s="5" t="n">
        <v>5.9</v>
      </c>
      <c r="G3" s="5" t="n">
        <v>7.5</v>
      </c>
      <c r="H3" s="5" t="n">
        <v>0.02</v>
      </c>
      <c r="I3" s="5" t="n">
        <v>0.25</v>
      </c>
      <c r="J3" s="5" t="n">
        <v>0.02</v>
      </c>
      <c r="K3" s="5" t="n">
        <v>0.2</v>
      </c>
      <c r="L3" s="4" t="inlineStr">
        <is>
          <t>Prezzi: Kalab oggi 7,50 €/crema; mercato 4,50-7 € (02). Costo STIMA 1,8-2,3 €/vasetto (04).</t>
        </is>
      </c>
    </row>
    <row r="4">
      <c r="A4" s="4" t="inlineStr">
        <is>
          <t>Sott'olio e conserve (2 vasetti + 1 crema)</t>
        </is>
      </c>
      <c r="B4" s="5" t="n">
        <v>24</v>
      </c>
      <c r="C4" s="5" t="n">
        <v>0.1</v>
      </c>
      <c r="D4" s="5" t="n">
        <v>9</v>
      </c>
      <c r="E4" s="5" t="n">
        <v>1.5</v>
      </c>
      <c r="F4" s="5" t="n">
        <v>5.9</v>
      </c>
      <c r="G4" s="5" t="n">
        <v>8</v>
      </c>
      <c r="H4" s="5" t="n">
        <v>0.02</v>
      </c>
      <c r="I4" s="5" t="n">
        <v>0.25</v>
      </c>
      <c r="J4" s="5" t="n">
        <v>0.02</v>
      </c>
      <c r="K4" s="5" t="n">
        <v>0.1</v>
      </c>
      <c r="L4" s="4" t="inlineStr">
        <is>
          <t>Prezzi 4,49-9 € a vasetto (02). Costo STIMA 2,6-3,5 € (04). Vetro pesante (1,5-2 kg): spedizione 8 € (03).</t>
        </is>
      </c>
    </row>
    <row r="5">
      <c r="A5" s="4" t="inlineStr">
        <is>
          <t>Semi (4 bustine)</t>
        </is>
      </c>
      <c r="B5" s="5" t="n">
        <v>14</v>
      </c>
      <c r="C5" s="5" t="n">
        <v>0.1</v>
      </c>
      <c r="D5" s="5" t="n">
        <v>1.6</v>
      </c>
      <c r="E5" s="5" t="n">
        <v>0.3</v>
      </c>
      <c r="F5" s="5" t="n">
        <v>2.9</v>
      </c>
      <c r="G5" s="5" t="n">
        <v>3</v>
      </c>
      <c r="H5" s="5" t="n">
        <v>0.02</v>
      </c>
      <c r="I5" s="5" t="n">
        <v>0.25</v>
      </c>
      <c r="J5" s="5" t="n">
        <v>0.01</v>
      </c>
      <c r="K5" s="5" t="n">
        <v>0.15</v>
      </c>
      <c r="L5" s="4" t="inlineStr">
        <is>
          <t>Prezzi 1-5 €/bustina (02); costo STIMA 0,35 € (04). Plico postale. ATTENZIONE: vincolo legge sementiera (04 §4).</t>
        </is>
      </c>
    </row>
    <row r="6">
      <c r="A6" s="4" t="inlineStr">
        <is>
          <t>Piantine (5 vasi, solo marzo-giugno)</t>
        </is>
      </c>
      <c r="B6" s="5" t="n">
        <v>25</v>
      </c>
      <c r="C6" s="5" t="n">
        <v>0.1</v>
      </c>
      <c r="D6" s="5" t="n">
        <v>10</v>
      </c>
      <c r="E6" s="5" t="n">
        <v>2.5</v>
      </c>
      <c r="F6" s="5" t="n">
        <v>8.9</v>
      </c>
      <c r="G6" s="5" t="n">
        <v>9.5</v>
      </c>
      <c r="H6" s="5" t="n">
        <v>0.02</v>
      </c>
      <c r="I6" s="5" t="n">
        <v>0.25</v>
      </c>
      <c r="J6" s="5" t="n">
        <v>0.08</v>
      </c>
      <c r="K6" s="5" t="n">
        <v>0.05</v>
      </c>
      <c r="L6" s="4" t="inlineStr">
        <is>
          <t>Prezzi 2,70-5 €/vaso (02); costo STIMA 1,5-2 € (04). Serve RUOP + passaporto piante. Resi alti: viva.</t>
        </is>
      </c>
    </row>
    <row r="7">
      <c r="A7" s="4" t="inlineStr">
        <is>
          <t>Kit degustazione / box regalo</t>
        </is>
      </c>
      <c r="B7" s="5" t="n">
        <v>38</v>
      </c>
      <c r="C7" s="5" t="n">
        <v>0.1</v>
      </c>
      <c r="D7" s="5" t="n">
        <v>10</v>
      </c>
      <c r="E7" s="5" t="n">
        <v>2</v>
      </c>
      <c r="F7" s="5" t="n">
        <v>5.9</v>
      </c>
      <c r="G7" s="5" t="n">
        <v>7</v>
      </c>
      <c r="H7" s="5" t="n">
        <v>0.02</v>
      </c>
      <c r="I7" s="5" t="n">
        <v>0.25</v>
      </c>
      <c r="J7" s="5" t="n">
        <v>0.02</v>
      </c>
      <c r="K7" s="5" t="n">
        <v>0.2</v>
      </c>
      <c r="L7" s="4" t="inlineStr">
        <is>
          <t>Prezzi 25-45 € (02/04); costo STIMA 5-12 € (04). Picco nov-dic.</t>
        </is>
      </c>
    </row>
    <row r="8">
      <c r="A8" s="4" t="inlineStr">
        <is>
          <t>Fresco 1 kg isotermico, solo Italia 24 h</t>
        </is>
      </c>
      <c r="B8" s="5" t="n">
        <v>20</v>
      </c>
      <c r="C8" s="5" t="n">
        <v>0.04</v>
      </c>
      <c r="D8" s="5" t="n">
        <v>4.5</v>
      </c>
      <c r="E8" s="5" t="n">
        <v>4</v>
      </c>
      <c r="F8" s="5" t="n">
        <v>9.9</v>
      </c>
      <c r="G8" s="5" t="n">
        <v>15</v>
      </c>
      <c r="H8" s="5" t="n">
        <v>0.02</v>
      </c>
      <c r="I8" s="5" t="n">
        <v>0.25</v>
      </c>
      <c r="J8" s="5" t="n">
        <v>0.1</v>
      </c>
      <c r="K8" s="5" t="n">
        <v>0.05</v>
      </c>
      <c r="L8" s="4" t="inlineStr">
        <is>
          <t>Prezzi 12-24 €/kg varietà nominate (02). Costo STIMA; imballo isotermico+gel STIMA 3-5 €; espresso 24 h 12-18 € negoziato (03 §costo a pacco: 17-25 € tutto compreso). Resi 10% = esperienza Natale scorso.</t>
        </is>
      </c>
    </row>
    <row r="10">
      <c r="A10" s="6" t="inlineStr">
        <is>
          <t>Controllo: il mix deve fare 100%</t>
        </is>
      </c>
      <c r="K10" s="7">
        <f>SUM(K2:K8)</f>
        <v/>
      </c>
    </row>
    <row r="12">
      <c r="A12" s="6" t="inlineStr">
        <is>
          <t>Quota B2Brand sull'incasso (ipotesi base)</t>
        </is>
      </c>
      <c r="B12" s="8" t="n">
        <v>0.5</v>
      </c>
      <c r="C12" t="inlineStr">
        <is>
          <t>Il 50% proposto da Kalab. Cambiare qui per vedere l'effetto ovunque.</t>
        </is>
      </c>
    </row>
    <row r="13">
      <c r="A13" s="6" t="inlineStr">
        <is>
          <t>Base di calcolo della quota</t>
        </is>
      </c>
      <c r="B13" s="8" t="inlineStr">
        <is>
          <t>lordo</t>
        </is>
      </c>
      <c r="C13" t="inlineStr">
        <is>
          <t>"lordo" = sull'incasso IVA inclusa; "netto" = incasso senza IVA, senza spedizione incassata, senza commissioni di pagamento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48" customHeight="1">
      <c r="A1" s="3" t="inlineStr">
        <is>
          <t>Categoria</t>
        </is>
      </c>
      <c r="B1" s="3" t="inlineStr">
        <is>
          <t>Prezzo pubblico</t>
        </is>
      </c>
      <c r="C1" s="3" t="inlineStr">
        <is>
          <t>IVA</t>
        </is>
      </c>
      <c r="D1" s="3" t="inlineStr">
        <is>
          <t>Netto IVA</t>
        </is>
      </c>
      <c r="E1" s="3" t="inlineStr">
        <is>
          <t>Spedizione incassata</t>
        </is>
      </c>
      <c r="F1" s="3" t="inlineStr">
        <is>
          <t>Commissioni pagamento</t>
        </is>
      </c>
      <c r="G1" s="3" t="inlineStr">
        <is>
          <t>Incasso netto (base 'netto')</t>
        </is>
      </c>
      <c r="H1" s="3" t="inlineStr">
        <is>
          <t>Base di calcolo quota</t>
        </is>
      </c>
      <c r="I1" s="3" t="inlineStr">
        <is>
          <t>Quota B2Brand (€)</t>
        </is>
      </c>
      <c r="J1" s="3" t="inlineStr">
        <is>
          <t>Resta a Kalab (lordo)</t>
        </is>
      </c>
      <c r="K1" s="3" t="inlineStr">
        <is>
          <t>Costo prodotto</t>
        </is>
      </c>
      <c r="L1" s="3" t="inlineStr">
        <is>
          <t>Imballo</t>
        </is>
      </c>
      <c r="M1" s="3" t="inlineStr">
        <is>
          <t>Spedizione vera</t>
        </is>
      </c>
      <c r="N1" s="3" t="inlineStr">
        <is>
          <t>Perdite per resi</t>
        </is>
      </c>
      <c r="O1" s="3" t="inlineStr">
        <is>
          <t>Margine Kalab (€)</t>
        </is>
      </c>
      <c r="P1" s="3" t="inlineStr">
        <is>
          <t>Margine Kalab % sul prezzo</t>
        </is>
      </c>
      <c r="Q1" s="3" t="inlineStr">
        <is>
          <t>Margine Kalab % sul suo incasso</t>
        </is>
      </c>
    </row>
    <row r="2">
      <c r="A2" s="4">
        <f>Ipotesi!A2</f>
        <v/>
      </c>
      <c r="B2" s="9">
        <f>Ipotesi!B2</f>
        <v/>
      </c>
      <c r="C2" s="9">
        <f>B2-B2/(1+Ipotesi!C2)</f>
        <v/>
      </c>
      <c r="D2" s="9">
        <f>B2-C2</f>
        <v/>
      </c>
      <c r="E2" s="9">
        <f>Ipotesi!F2</f>
        <v/>
      </c>
      <c r="F2" s="9">
        <f>(B2+E2)*Ipotesi!H2+Ipotesi!I2</f>
        <v/>
      </c>
      <c r="G2" s="9">
        <f>D2-F2</f>
        <v/>
      </c>
      <c r="H2" s="9">
        <f>IF(Ipotesi!$B$13="lordo",B2+E2,G2)</f>
        <v/>
      </c>
      <c r="I2" s="10">
        <f>H2*Ipotesi!$B$12</f>
        <v/>
      </c>
      <c r="J2" s="9">
        <f>D2+E2-F2-I2</f>
        <v/>
      </c>
      <c r="K2" s="9">
        <f>Ipotesi!D2</f>
        <v/>
      </c>
      <c r="L2" s="9">
        <f>Ipotesi!E2</f>
        <v/>
      </c>
      <c r="M2" s="9">
        <f>Ipotesi!G2</f>
        <v/>
      </c>
      <c r="N2" s="9">
        <f>(B2+Ipotesi!G2)*Ipotesi!J2</f>
        <v/>
      </c>
      <c r="O2" s="10">
        <f>J2-K2-L2-M2-N2</f>
        <v/>
      </c>
      <c r="P2" s="11">
        <f>O2/B2</f>
        <v/>
      </c>
      <c r="Q2" s="11">
        <f>IF(J2=0,0,O2/J2)</f>
        <v/>
      </c>
    </row>
    <row r="3">
      <c r="A3" s="4">
        <f>Ipotesi!A3</f>
        <v/>
      </c>
      <c r="B3" s="9">
        <f>Ipotesi!B3</f>
        <v/>
      </c>
      <c r="C3" s="9">
        <f>B3-B3/(1+Ipotesi!C3)</f>
        <v/>
      </c>
      <c r="D3" s="9">
        <f>B3-C3</f>
        <v/>
      </c>
      <c r="E3" s="9">
        <f>Ipotesi!F3</f>
        <v/>
      </c>
      <c r="F3" s="9">
        <f>(B3+E3)*Ipotesi!H3+Ipotesi!I3</f>
        <v/>
      </c>
      <c r="G3" s="9">
        <f>D3-F3</f>
        <v/>
      </c>
      <c r="H3" s="9">
        <f>IF(Ipotesi!$B$13="lordo",B3+E3,G3)</f>
        <v/>
      </c>
      <c r="I3" s="10">
        <f>H3*Ipotesi!$B$12</f>
        <v/>
      </c>
      <c r="J3" s="9">
        <f>D3+E3-F3-I3</f>
        <v/>
      </c>
      <c r="K3" s="9">
        <f>Ipotesi!D3</f>
        <v/>
      </c>
      <c r="L3" s="9">
        <f>Ipotesi!E3</f>
        <v/>
      </c>
      <c r="M3" s="9">
        <f>Ipotesi!G3</f>
        <v/>
      </c>
      <c r="N3" s="9">
        <f>(B3+Ipotesi!G3)*Ipotesi!J3</f>
        <v/>
      </c>
      <c r="O3" s="10">
        <f>J3-K3-L3-M3-N3</f>
        <v/>
      </c>
      <c r="P3" s="11">
        <f>O3/B3</f>
        <v/>
      </c>
      <c r="Q3" s="11">
        <f>IF(J3=0,0,O3/J3)</f>
        <v/>
      </c>
    </row>
    <row r="4">
      <c r="A4" s="4">
        <f>Ipotesi!A4</f>
        <v/>
      </c>
      <c r="B4" s="9">
        <f>Ipotesi!B4</f>
        <v/>
      </c>
      <c r="C4" s="9">
        <f>B4-B4/(1+Ipotesi!C4)</f>
        <v/>
      </c>
      <c r="D4" s="9">
        <f>B4-C4</f>
        <v/>
      </c>
      <c r="E4" s="9">
        <f>Ipotesi!F4</f>
        <v/>
      </c>
      <c r="F4" s="9">
        <f>(B4+E4)*Ipotesi!H4+Ipotesi!I4</f>
        <v/>
      </c>
      <c r="G4" s="9">
        <f>D4-F4</f>
        <v/>
      </c>
      <c r="H4" s="9">
        <f>IF(Ipotesi!$B$13="lordo",B4+E4,G4)</f>
        <v/>
      </c>
      <c r="I4" s="10">
        <f>H4*Ipotesi!$B$12</f>
        <v/>
      </c>
      <c r="J4" s="9">
        <f>D4+E4-F4-I4</f>
        <v/>
      </c>
      <c r="K4" s="9">
        <f>Ipotesi!D4</f>
        <v/>
      </c>
      <c r="L4" s="9">
        <f>Ipotesi!E4</f>
        <v/>
      </c>
      <c r="M4" s="9">
        <f>Ipotesi!G4</f>
        <v/>
      </c>
      <c r="N4" s="9">
        <f>(B4+Ipotesi!G4)*Ipotesi!J4</f>
        <v/>
      </c>
      <c r="O4" s="10">
        <f>J4-K4-L4-M4-N4</f>
        <v/>
      </c>
      <c r="P4" s="11">
        <f>O4/B4</f>
        <v/>
      </c>
      <c r="Q4" s="11">
        <f>IF(J4=0,0,O4/J4)</f>
        <v/>
      </c>
    </row>
    <row r="5">
      <c r="A5" s="4">
        <f>Ipotesi!A5</f>
        <v/>
      </c>
      <c r="B5" s="9">
        <f>Ipotesi!B5</f>
        <v/>
      </c>
      <c r="C5" s="9">
        <f>B5-B5/(1+Ipotesi!C5)</f>
        <v/>
      </c>
      <c r="D5" s="9">
        <f>B5-C5</f>
        <v/>
      </c>
      <c r="E5" s="9">
        <f>Ipotesi!F5</f>
        <v/>
      </c>
      <c r="F5" s="9">
        <f>(B5+E5)*Ipotesi!H5+Ipotesi!I5</f>
        <v/>
      </c>
      <c r="G5" s="9">
        <f>D5-F5</f>
        <v/>
      </c>
      <c r="H5" s="9">
        <f>IF(Ipotesi!$B$13="lordo",B5+E5,G5)</f>
        <v/>
      </c>
      <c r="I5" s="10">
        <f>H5*Ipotesi!$B$12</f>
        <v/>
      </c>
      <c r="J5" s="9">
        <f>D5+E5-F5-I5</f>
        <v/>
      </c>
      <c r="K5" s="9">
        <f>Ipotesi!D5</f>
        <v/>
      </c>
      <c r="L5" s="9">
        <f>Ipotesi!E5</f>
        <v/>
      </c>
      <c r="M5" s="9">
        <f>Ipotesi!G5</f>
        <v/>
      </c>
      <c r="N5" s="9">
        <f>(B5+Ipotesi!G5)*Ipotesi!J5</f>
        <v/>
      </c>
      <c r="O5" s="10">
        <f>J5-K5-L5-M5-N5</f>
        <v/>
      </c>
      <c r="P5" s="11">
        <f>O5/B5</f>
        <v/>
      </c>
      <c r="Q5" s="11">
        <f>IF(J5=0,0,O5/J5)</f>
        <v/>
      </c>
    </row>
    <row r="6">
      <c r="A6" s="4">
        <f>Ipotesi!A6</f>
        <v/>
      </c>
      <c r="B6" s="9">
        <f>Ipotesi!B6</f>
        <v/>
      </c>
      <c r="C6" s="9">
        <f>B6-B6/(1+Ipotesi!C6)</f>
        <v/>
      </c>
      <c r="D6" s="9">
        <f>B6-C6</f>
        <v/>
      </c>
      <c r="E6" s="9">
        <f>Ipotesi!F6</f>
        <v/>
      </c>
      <c r="F6" s="9">
        <f>(B6+E6)*Ipotesi!H6+Ipotesi!I6</f>
        <v/>
      </c>
      <c r="G6" s="9">
        <f>D6-F6</f>
        <v/>
      </c>
      <c r="H6" s="9">
        <f>IF(Ipotesi!$B$13="lordo",B6+E6,G6)</f>
        <v/>
      </c>
      <c r="I6" s="10">
        <f>H6*Ipotesi!$B$12</f>
        <v/>
      </c>
      <c r="J6" s="9">
        <f>D6+E6-F6-I6</f>
        <v/>
      </c>
      <c r="K6" s="9">
        <f>Ipotesi!D6</f>
        <v/>
      </c>
      <c r="L6" s="9">
        <f>Ipotesi!E6</f>
        <v/>
      </c>
      <c r="M6" s="9">
        <f>Ipotesi!G6</f>
        <v/>
      </c>
      <c r="N6" s="9">
        <f>(B6+Ipotesi!G6)*Ipotesi!J6</f>
        <v/>
      </c>
      <c r="O6" s="10">
        <f>J6-K6-L6-M6-N6</f>
        <v/>
      </c>
      <c r="P6" s="11">
        <f>O6/B6</f>
        <v/>
      </c>
      <c r="Q6" s="11">
        <f>IF(J6=0,0,O6/J6)</f>
        <v/>
      </c>
    </row>
    <row r="7">
      <c r="A7" s="4">
        <f>Ipotesi!A7</f>
        <v/>
      </c>
      <c r="B7" s="9">
        <f>Ipotesi!B7</f>
        <v/>
      </c>
      <c r="C7" s="9">
        <f>B7-B7/(1+Ipotesi!C7)</f>
        <v/>
      </c>
      <c r="D7" s="9">
        <f>B7-C7</f>
        <v/>
      </c>
      <c r="E7" s="9">
        <f>Ipotesi!F7</f>
        <v/>
      </c>
      <c r="F7" s="9">
        <f>(B7+E7)*Ipotesi!H7+Ipotesi!I7</f>
        <v/>
      </c>
      <c r="G7" s="9">
        <f>D7-F7</f>
        <v/>
      </c>
      <c r="H7" s="9">
        <f>IF(Ipotesi!$B$13="lordo",B7+E7,G7)</f>
        <v/>
      </c>
      <c r="I7" s="10">
        <f>H7*Ipotesi!$B$12</f>
        <v/>
      </c>
      <c r="J7" s="9">
        <f>D7+E7-F7-I7</f>
        <v/>
      </c>
      <c r="K7" s="9">
        <f>Ipotesi!D7</f>
        <v/>
      </c>
      <c r="L7" s="9">
        <f>Ipotesi!E7</f>
        <v/>
      </c>
      <c r="M7" s="9">
        <f>Ipotesi!G7</f>
        <v/>
      </c>
      <c r="N7" s="9">
        <f>(B7+Ipotesi!G7)*Ipotesi!J7</f>
        <v/>
      </c>
      <c r="O7" s="10">
        <f>J7-K7-L7-M7-N7</f>
        <v/>
      </c>
      <c r="P7" s="11">
        <f>O7/B7</f>
        <v/>
      </c>
      <c r="Q7" s="11">
        <f>IF(J7=0,0,O7/J7)</f>
        <v/>
      </c>
    </row>
    <row r="8">
      <c r="A8" s="4">
        <f>Ipotesi!A8</f>
        <v/>
      </c>
      <c r="B8" s="9">
        <f>Ipotesi!B8</f>
        <v/>
      </c>
      <c r="C8" s="9">
        <f>B8-B8/(1+Ipotesi!C8)</f>
        <v/>
      </c>
      <c r="D8" s="9">
        <f>B8-C8</f>
        <v/>
      </c>
      <c r="E8" s="9">
        <f>Ipotesi!F8</f>
        <v/>
      </c>
      <c r="F8" s="9">
        <f>(B8+E8)*Ipotesi!H8+Ipotesi!I8</f>
        <v/>
      </c>
      <c r="G8" s="9">
        <f>D8-F8</f>
        <v/>
      </c>
      <c r="H8" s="9">
        <f>IF(Ipotesi!$B$13="lordo",B8+E8,G8)</f>
        <v/>
      </c>
      <c r="I8" s="10">
        <f>H8*Ipotesi!$B$12</f>
        <v/>
      </c>
      <c r="J8" s="9">
        <f>D8+E8-F8-I8</f>
        <v/>
      </c>
      <c r="K8" s="9">
        <f>Ipotesi!D8</f>
        <v/>
      </c>
      <c r="L8" s="9">
        <f>Ipotesi!E8</f>
        <v/>
      </c>
      <c r="M8" s="9">
        <f>Ipotesi!G8</f>
        <v/>
      </c>
      <c r="N8" s="9">
        <f>(B8+Ipotesi!G8)*Ipotesi!J8</f>
        <v/>
      </c>
      <c r="O8" s="10">
        <f>J8-K8-L8-M8-N8</f>
        <v/>
      </c>
      <c r="P8" s="11">
        <f>O8/B8</f>
        <v/>
      </c>
      <c r="Q8" s="11">
        <f>IF(J8=0,0,O8/J8)</f>
        <v/>
      </c>
    </row>
    <row r="10">
      <c r="A10" s="6" t="inlineStr">
        <is>
          <t>Medie pesate sul mix ordini</t>
        </is>
      </c>
      <c r="B10" s="12">
        <f>SUMPRODUCT(B2:B8,Ipotesi!K2:K8)</f>
        <v/>
      </c>
      <c r="G10" s="12">
        <f>SUMPRODUCT(G2:G8,Ipotesi!K2:K8)</f>
        <v/>
      </c>
      <c r="H10" s="12">
        <f>SUMPRODUCT((B2:B8+E2:E8),Ipotesi!K2:K8)</f>
        <v/>
      </c>
      <c r="I10" s="12">
        <f>SUMPRODUCT(I2:I8,Ipotesi!K2:K8)</f>
        <v/>
      </c>
      <c r="O10" s="12">
        <f>SUMPRODUCT(O2:O8,Ipotesi!K2:K8)</f>
        <v/>
      </c>
      <c r="P10" s="13">
        <f>O10/B10</f>
        <v/>
      </c>
    </row>
    <row r="11">
      <c r="A11" t="inlineStr">
        <is>
          <t>Letture: colonna O = quanto resta a Kalab per ordine dopo prodotto, imballo, spedizione e quota B2Brand. Se è vicino a zero o negativo, con quella quota Kalab lavora gratis.</t>
        </is>
      </c>
    </row>
    <row r="12">
      <c r="A12" t="inlineStr">
        <is>
          <t>Medie pesate: colonna G = incassato netto medio per ordine; colonna H = incasso lordo medio (merce + spedizione).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70" customWidth="1" min="6" max="6"/>
    <col width="20" customWidth="1" min="7" max="7"/>
  </cols>
  <sheetData>
    <row r="1">
      <c r="A1" s="14" t="inlineStr">
        <is>
          <t>Voce</t>
        </is>
      </c>
      <c r="B1" s="14" t="inlineStr">
        <is>
          <t>Una tantum (€)</t>
        </is>
      </c>
      <c r="C1" s="14" t="inlineStr">
        <is>
          <t>Mensile anno 1 (€)</t>
        </is>
      </c>
      <c r="D1" s="14" t="inlineStr">
        <is>
          <t>Mensile anno 2 (€)</t>
        </is>
      </c>
      <c r="E1" s="14" t="inlineStr">
        <is>
          <t>Mensile anno 3 (€)</t>
        </is>
      </c>
      <c r="F1" s="14" t="inlineStr">
        <is>
          <t>Fonte / nota</t>
        </is>
      </c>
      <c r="G1" s="14" t="inlineStr">
        <is>
          <t>Tipo (cassa = soldi che escono; ore = tempo di B2Brand a 35 €/h)</t>
        </is>
      </c>
    </row>
    <row r="2">
      <c r="A2" s="4" t="inlineStr">
        <is>
          <t>Costruzione negozio (Shopify/Woo, tema, app, feed Merchant): ore interne B2Brand</t>
        </is>
      </c>
      <c r="B2" s="5" t="n">
        <v>3000</v>
      </c>
      <c r="C2" s="5" t="n">
        <v>0</v>
      </c>
      <c r="D2" s="5" t="n">
        <v>0</v>
      </c>
      <c r="E2" s="5" t="n">
        <v>0</v>
      </c>
      <c r="F2" s="4" t="inlineStr">
        <is>
          <t>STIMA 85 ore × 35 €/h di costo interno. Valore di mercato 3.000-7.000 € (07 B2).</t>
        </is>
      </c>
      <c r="G2" s="4" t="inlineStr">
        <is>
          <t>ore</t>
        </is>
      </c>
    </row>
    <row r="3">
      <c r="A3" s="4" t="inlineStr">
        <is>
          <t>Foto: shooting 60-80 referenze + ambiente (campi, Casa Kalab)</t>
        </is>
      </c>
      <c r="B3" s="5" t="n">
        <v>1500</v>
      </c>
      <c r="C3" s="5" t="n">
        <v>0</v>
      </c>
      <c r="D3" s="5" t="n">
        <v>0</v>
      </c>
      <c r="E3" s="5" t="n">
        <v>0</v>
      </c>
      <c r="F3" s="4" t="inlineStr">
        <is>
          <t>STIMA 1.500-3.500 € freelance (07 B2).</t>
        </is>
      </c>
      <c r="G3" s="4" t="inlineStr">
        <is>
          <t>cassa</t>
        </is>
      </c>
    </row>
    <row r="4">
      <c r="A4" s="4" t="inlineStr">
        <is>
          <t>Testi: 60-100 schede prodotto + 50 schede varietà iniziali</t>
        </is>
      </c>
      <c r="B4" s="5" t="n">
        <v>1000</v>
      </c>
      <c r="C4" s="5" t="n">
        <v>0</v>
      </c>
      <c r="D4" s="5" t="n">
        <v>0</v>
      </c>
      <c r="E4" s="5" t="n">
        <v>0</v>
      </c>
      <c r="F4" s="4" t="inlineStr">
        <is>
          <t>STIMA 3 giornate di copy interno.</t>
        </is>
      </c>
      <c r="G4" s="4" t="inlineStr">
        <is>
          <t>ore</t>
        </is>
      </c>
    </row>
    <row r="5">
      <c r="A5" s="4" t="inlineStr">
        <is>
          <t>Traduzioni EN+DE (DeepL + revisione umana)</t>
        </is>
      </c>
      <c r="B5" s="5" t="n">
        <v>1500</v>
      </c>
      <c r="C5" s="5" t="n">
        <v>0</v>
      </c>
      <c r="D5" s="5" t="n">
        <v>0</v>
      </c>
      <c r="E5" s="5" t="n">
        <v>0</v>
      </c>
      <c r="F5" s="4" t="inlineStr">
        <is>
          <t>STIMA 1.500-3.000 € (07 B2); umane 7.000-11.500 € per 4 lingue.</t>
        </is>
      </c>
      <c r="G5" s="4" t="inlineStr">
        <is>
          <t>cassa</t>
        </is>
      </c>
    </row>
    <row r="6">
      <c r="A6" s="4" t="inlineStr">
        <is>
          <t>Piattaforma + app + dominio</t>
        </is>
      </c>
      <c r="B6" s="5" t="n">
        <v>0</v>
      </c>
      <c r="C6" s="5" t="n">
        <v>100</v>
      </c>
      <c r="D6" s="5" t="n">
        <v>120</v>
      </c>
      <c r="E6" s="5" t="n">
        <v>150</v>
      </c>
      <c r="F6" s="4" t="inlineStr">
        <is>
          <t>Shopify Basic 27 €/mese + app 50-150 € (07 B2, listino Shopify 02/10/2026).</t>
        </is>
      </c>
      <c r="G6" s="4" t="inlineStr">
        <is>
          <t>cassa</t>
        </is>
      </c>
    </row>
    <row r="7">
      <c r="A7" s="4" t="inlineStr">
        <is>
          <t>Gestione mensile: ordini, assistenza, contenuti, newsletter, campagne (ore interne)</t>
        </is>
      </c>
      <c r="B7" s="5" t="n">
        <v>0</v>
      </c>
      <c r="C7" s="5" t="n">
        <v>700</v>
      </c>
      <c r="D7" s="5" t="n">
        <v>900</v>
      </c>
      <c r="E7" s="5" t="n">
        <v>1100</v>
      </c>
      <c r="F7" s="4" t="inlineStr">
        <is>
          <t>STIMA 20-30 ore/mese × 35 €/h. E-commerce manager in Italia 32-38 k€/anno (Indeed, 07).</t>
        </is>
      </c>
      <c r="G7" s="4" t="inlineStr">
        <is>
          <t>ore</t>
        </is>
      </c>
    </row>
    <row r="8">
      <c r="A8" s="4" t="inlineStr">
        <is>
          <t>Manutenzione tecnica e monitoraggio</t>
        </is>
      </c>
      <c r="B8" s="5" t="n">
        <v>0</v>
      </c>
      <c r="C8" s="5" t="n">
        <v>50</v>
      </c>
      <c r="D8" s="5" t="n">
        <v>50</v>
      </c>
      <c r="E8" s="5" t="n">
        <v>50</v>
      </c>
      <c r="F8" s="4" t="inlineStr">
        <is>
          <t>Keidea: 50-150 €/mese base (07 B2).</t>
        </is>
      </c>
      <c r="G8" s="4" t="inlineStr">
        <is>
          <t>ore</t>
        </is>
      </c>
    </row>
    <row r="9">
      <c r="A9" s="4" t="inlineStr">
        <is>
          <t>Schede varietà nuove (SEO): 10-15 al mese</t>
        </is>
      </c>
      <c r="B9" s="5" t="n">
        <v>0</v>
      </c>
      <c r="C9" s="5" t="n">
        <v>200</v>
      </c>
      <c r="D9" s="5" t="n">
        <v>200</v>
      </c>
      <c r="E9" s="5" t="n">
        <v>150</v>
      </c>
      <c r="F9" s="4" t="inlineStr">
        <is>
          <t>STIMA 6 ore/mese. Senza, le 350 varietà restano una promessa.</t>
        </is>
      </c>
      <c r="G9" s="4" t="inlineStr">
        <is>
          <t>ore</t>
        </is>
      </c>
    </row>
    <row r="10">
      <c r="A10" s="6" t="inlineStr">
        <is>
          <t>TOTALE</t>
        </is>
      </c>
      <c r="B10" s="15">
        <f>SUM(B2:B9)</f>
        <v/>
      </c>
      <c r="C10" s="15">
        <f>SUM(C2:C9)</f>
        <v/>
      </c>
      <c r="D10" s="15">
        <f>SUM(D2:D9)</f>
        <v/>
      </c>
      <c r="E10" s="15">
        <f>SUM(E2:E9)</f>
        <v/>
      </c>
    </row>
    <row r="11">
      <c r="A11" s="6" t="inlineStr">
        <is>
          <t>di cui SOLO CASSA</t>
        </is>
      </c>
      <c r="B11" s="7">
        <f>SUMIF($G$2:$G$9,"cassa",B2:B9)</f>
        <v/>
      </c>
      <c r="C11" s="7">
        <f>SUMIF($G$2:$G$9,"cassa",C2:C9)</f>
        <v/>
      </c>
      <c r="D11" s="7">
        <f>SUMIF($G$2:$G$9,"cassa",D2:D9)</f>
        <v/>
      </c>
      <c r="E11" s="7">
        <f>SUMIF($G$2:$G$9,"cassa",E2:E9)</f>
        <v/>
      </c>
    </row>
    <row r="12">
      <c r="A12" t="inlineStr">
        <is>
          <t>Nei fogli Scenari si usa il TOTALE (ore comprese). Per vedere il solo esborso di cassa, mettere a zero le righe «ore».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80" customWidth="1" min="3" max="3"/>
  </cols>
  <sheetData>
    <row r="1">
      <c r="A1" s="6" t="inlineStr">
        <is>
          <t>Mese</t>
        </is>
      </c>
      <c r="B1" s="6" t="inlineStr">
        <is>
          <t>Peso del mese (media = 1,00)</t>
        </is>
      </c>
      <c r="C1" s="6" t="inlineStr">
        <is>
          <t>Nota</t>
        </is>
      </c>
    </row>
    <row r="2">
      <c r="A2" t="inlineStr">
        <is>
          <t>gen</t>
        </is>
      </c>
      <c r="B2" s="8" t="n">
        <v>0.85</v>
      </c>
      <c r="C2" t="inlineStr">
        <is>
          <t>dopo Natale; semi iniziano</t>
        </is>
      </c>
    </row>
    <row r="3">
      <c r="A3" t="inlineStr">
        <is>
          <t>feb</t>
        </is>
      </c>
      <c r="B3" s="8" t="n">
        <v>0.95</v>
      </c>
      <c r="C3" t="inlineStr">
        <is>
          <t>semi (Trends IT picco feb-mar)</t>
        </is>
      </c>
    </row>
    <row r="4">
      <c r="A4" t="inlineStr">
        <is>
          <t>mar</t>
        </is>
      </c>
      <c r="B4" s="8" t="n">
        <v>1</v>
      </c>
      <c r="C4" t="inlineStr">
        <is>
          <t>semi + piantine</t>
        </is>
      </c>
    </row>
    <row r="5">
      <c r="A5" t="inlineStr">
        <is>
          <t>apr</t>
        </is>
      </c>
      <c r="B5" s="8" t="n">
        <v>0.95</v>
      </c>
      <c r="C5" t="inlineStr">
        <is>
          <t>piantine (Trends: apr-mag)</t>
        </is>
      </c>
    </row>
    <row r="6">
      <c r="A6" t="inlineStr">
        <is>
          <t>mag</t>
        </is>
      </c>
      <c r="B6" s="8" t="n">
        <v>0.85</v>
      </c>
      <c r="C6" t="inlineStr">
        <is>
          <t>piantine</t>
        </is>
      </c>
    </row>
    <row r="7">
      <c r="A7" t="inlineStr">
        <is>
          <t>giu</t>
        </is>
      </c>
      <c r="B7" s="8" t="n">
        <v>0.65</v>
      </c>
      <c r="C7" t="inlineStr">
        <is>
          <t>estate: minimo (Trends giu-lug)</t>
        </is>
      </c>
    </row>
    <row r="8">
      <c r="A8" t="inlineStr">
        <is>
          <t>lug</t>
        </is>
      </c>
      <c r="B8" s="8" t="n">
        <v>0.65</v>
      </c>
      <c r="C8" t="inlineStr">
        <is>
          <t>minimo</t>
        </is>
      </c>
    </row>
    <row r="9">
      <c r="A9" t="inlineStr">
        <is>
          <t>ago</t>
        </is>
      </c>
      <c r="B9" s="8" t="n">
        <v>0.75</v>
      </c>
      <c r="C9" t="inlineStr">
        <is>
          <t>raccolta: ricerche al massimo ma si compra in azienda/sagre</t>
        </is>
      </c>
    </row>
    <row r="10">
      <c r="A10" t="inlineStr">
        <is>
          <t>set</t>
        </is>
      </c>
      <c r="B10" s="8" t="n">
        <v>1</v>
      </c>
      <c r="C10" t="inlineStr">
        <is>
          <t>Festival Diamante 9-13/9; raccolta</t>
        </is>
      </c>
    </row>
    <row r="11">
      <c r="A11" t="inlineStr">
        <is>
          <t>ott</t>
        </is>
      </c>
      <c r="B11" s="8" t="n">
        <v>1</v>
      </c>
      <c r="C11" t="inlineStr">
        <is>
          <t>secco nuovo; inizio regali</t>
        </is>
      </c>
    </row>
    <row r="12">
      <c r="A12" t="inlineStr">
        <is>
          <t>nov</t>
        </is>
      </c>
      <c r="B12" s="8" t="n">
        <v>1.35</v>
      </c>
      <c r="C12" t="inlineStr">
        <is>
          <t>Black Friday; picco 'sauce piquante' FR</t>
        </is>
      </c>
    </row>
    <row r="13">
      <c r="A13" t="inlineStr">
        <is>
          <t>dic</t>
        </is>
      </c>
      <c r="B13" s="8" t="n">
        <v>2</v>
      </c>
      <c r="C13" t="inlineStr">
        <is>
          <t>Natale: picco acquisti online 5 e 16-17 dic (idealo)</t>
        </is>
      </c>
    </row>
    <row r="14">
      <c r="A14" s="6" t="inlineStr">
        <is>
          <t>Somma (deve fare 12)</t>
        </is>
      </c>
      <c r="B14" s="7">
        <f>SUM(B2:B13)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64"/>
  <sheetViews>
    <sheetView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8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8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</cols>
  <sheetData>
    <row r="1">
      <c r="A1" s="16" t="inlineStr">
        <is>
          <t>Ipotesi per scenario (celle azzurre)</t>
        </is>
      </c>
    </row>
    <row r="2">
      <c r="A2" s="14" t="inlineStr">
        <is>
          <t>Parametro</t>
        </is>
      </c>
      <c r="B2" s="14" t="inlineStr">
        <is>
          <t>Prudente</t>
        </is>
      </c>
      <c r="C2" s="14" t="inlineStr">
        <is>
          <t>Medio</t>
        </is>
      </c>
      <c r="D2" s="14" t="inlineStr">
        <is>
          <t>Ambizioso</t>
        </is>
      </c>
      <c r="E2" s="14" t="inlineStr">
        <is>
          <t>Nota</t>
        </is>
      </c>
    </row>
    <row r="3">
      <c r="A3" s="4" t="inlineStr">
        <is>
          <t>Ordini al mese, media anno 1</t>
        </is>
      </c>
      <c r="B3" s="5" t="n">
        <v>20</v>
      </c>
      <c r="C3" s="5" t="n">
        <v>50</v>
      </c>
      <c r="D3" s="5" t="n">
        <v>100</v>
      </c>
      <c r="E3" t="inlineStr">
        <is>
          <t>STIMA. Oggi kalab.it ha 13 prodotti e ~10 pagine indicizzate: si parte da zero. 500 €/mese di pubblicità danno 10-17 ordini (05 §5.2); il resto da SEO, newsletter, eventi.</t>
        </is>
      </c>
    </row>
    <row r="4">
      <c r="A4" s="4" t="inlineStr">
        <is>
          <t>Ordini al mese, media anno 2</t>
        </is>
      </c>
      <c r="B4" s="5" t="n">
        <v>40</v>
      </c>
      <c r="C4" s="5" t="n">
        <v>120</v>
      </c>
      <c r="D4" s="5" t="n">
        <v>250</v>
      </c>
      <c r="E4" t="inlineStr">
        <is>
          <t>STIMA. Anno 2: schede varietà indicizzate, recensioni, secondo Natale, Germania aperta.</t>
        </is>
      </c>
    </row>
    <row r="5">
      <c r="A5" s="4" t="inlineStr">
        <is>
          <t>Ordini al mese, media anno 3</t>
        </is>
      </c>
      <c r="B5" s="5" t="n">
        <v>60</v>
      </c>
      <c r="C5" s="5" t="n">
        <v>200</v>
      </c>
      <c r="D5" s="5" t="n">
        <v>450</v>
      </c>
      <c r="E5" t="inlineStr">
        <is>
          <t>STIMA. Anno 3: catalogo completo, 3-4 lingue, B2B (Ankorstore/Faire) fuori da questo conto.</t>
        </is>
      </c>
    </row>
    <row r="6">
      <c r="A6" s="4" t="inlineStr">
        <is>
          <t>Mesi di rampa prima del regime (anno 1)</t>
        </is>
      </c>
      <c r="B6" s="5" t="n">
        <v>6</v>
      </c>
      <c r="C6" s="5" t="n">
        <v>6</v>
      </c>
      <c r="D6" s="5" t="n">
        <v>6</v>
      </c>
      <c r="E6" t="inlineStr">
        <is>
          <t>Mesi per arrivare a regime nel primo anno (crescita lineare).</t>
        </is>
      </c>
    </row>
    <row r="7">
      <c r="A7" s="4" t="inlineStr">
        <is>
          <t>Budget pubblicità mensile anno 1 (€, pagato da B2Brand)</t>
        </is>
      </c>
      <c r="B7" s="5" t="n">
        <v>300</v>
      </c>
      <c r="C7" s="5" t="n">
        <v>400</v>
      </c>
      <c r="D7" s="5" t="n">
        <v>500</v>
      </c>
      <c r="E7" t="inlineStr">
        <is>
          <t>Pagata da B2Brand. Sotto 300 €/mese Google Shopping non impara (05 §5).</t>
        </is>
      </c>
    </row>
    <row r="8">
      <c r="A8" s="4" t="inlineStr">
        <is>
          <t>Budget pubblicità mensile anno 2 (€)</t>
        </is>
      </c>
      <c r="B8" s="5" t="n">
        <v>300</v>
      </c>
      <c r="C8" s="5" t="n">
        <v>600</v>
      </c>
      <c r="D8" s="5" t="n">
        <v>1000</v>
      </c>
      <c r="E8" t="inlineStr"/>
    </row>
    <row r="9">
      <c r="A9" s="4" t="inlineStr">
        <is>
          <t>Budget pubblicità mensile anno 3 (€)</t>
        </is>
      </c>
      <c r="B9" s="5" t="n">
        <v>300</v>
      </c>
      <c r="C9" s="5" t="n">
        <v>800</v>
      </c>
      <c r="D9" s="5" t="n">
        <v>1500</v>
      </c>
      <c r="E9" t="inlineStr"/>
    </row>
    <row r="11">
      <c r="A11" s="16" t="inlineStr">
        <is>
          <t>Proiezione mese per mese (formule)</t>
        </is>
      </c>
    </row>
    <row r="12">
      <c r="A12" s="16" t="inlineStr">
        <is>
          <t>Prudente</t>
        </is>
      </c>
      <c r="M12" s="16" t="inlineStr">
        <is>
          <t>Medio</t>
        </is>
      </c>
      <c r="Y12" s="16" t="inlineStr">
        <is>
          <t>Ambizioso</t>
        </is>
      </c>
    </row>
    <row r="13" ht="42" customHeight="1">
      <c r="A13" s="3" t="inlineStr">
        <is>
          <t>Mese</t>
        </is>
      </c>
      <c r="B13" s="3" t="inlineStr">
        <is>
          <t>Anno</t>
        </is>
      </c>
      <c r="C13" s="3" t="inlineStr">
        <is>
          <t>Ordini</t>
        </is>
      </c>
      <c r="D13" s="3" t="inlineStr">
        <is>
          <t>Incasso online (€)</t>
        </is>
      </c>
      <c r="E13" s="3" t="inlineStr">
        <is>
          <t>Quota B2Brand (€)</t>
        </is>
      </c>
      <c r="F13" s="3" t="inlineStr">
        <is>
          <t>Resta a Kalab lordo (€)</t>
        </is>
      </c>
      <c r="G13" s="3" t="inlineStr">
        <is>
          <t>Margine Kalab (€)</t>
        </is>
      </c>
      <c r="H13" s="3" t="inlineStr">
        <is>
          <t>Costi fissi B2Brand (€)</t>
        </is>
      </c>
      <c r="I13" s="3" t="inlineStr">
        <is>
          <t>Pubblicità (€)</t>
        </is>
      </c>
      <c r="J13" s="3" t="inlineStr">
        <is>
          <t>Risultato B2Brand mese (€)</t>
        </is>
      </c>
      <c r="K13" s="3" t="inlineStr">
        <is>
          <t>Cumulato B2Brand (€)</t>
        </is>
      </c>
      <c r="M13" s="3" t="inlineStr">
        <is>
          <t>Mese</t>
        </is>
      </c>
      <c r="N13" s="3" t="inlineStr">
        <is>
          <t>Anno</t>
        </is>
      </c>
      <c r="O13" s="3" t="inlineStr">
        <is>
          <t>Ordini</t>
        </is>
      </c>
      <c r="P13" s="3" t="inlineStr">
        <is>
          <t>Incasso online (€)</t>
        </is>
      </c>
      <c r="Q13" s="3" t="inlineStr">
        <is>
          <t>Quota B2Brand (€)</t>
        </is>
      </c>
      <c r="R13" s="3" t="inlineStr">
        <is>
          <t>Resta a Kalab lordo (€)</t>
        </is>
      </c>
      <c r="S13" s="3" t="inlineStr">
        <is>
          <t>Margine Kalab (€)</t>
        </is>
      </c>
      <c r="T13" s="3" t="inlineStr">
        <is>
          <t>Costi fissi B2Brand (€)</t>
        </is>
      </c>
      <c r="U13" s="3" t="inlineStr">
        <is>
          <t>Pubblicità (€)</t>
        </is>
      </c>
      <c r="V13" s="3" t="inlineStr">
        <is>
          <t>Risultato B2Brand mese (€)</t>
        </is>
      </c>
      <c r="W13" s="3" t="inlineStr">
        <is>
          <t>Cumulato B2Brand (€)</t>
        </is>
      </c>
      <c r="Y13" s="3" t="inlineStr">
        <is>
          <t>Mese</t>
        </is>
      </c>
      <c r="Z13" s="3" t="inlineStr">
        <is>
          <t>Anno</t>
        </is>
      </c>
      <c r="AA13" s="3" t="inlineStr">
        <is>
          <t>Ordini</t>
        </is>
      </c>
      <c r="AB13" s="3" t="inlineStr">
        <is>
          <t>Incasso online (€)</t>
        </is>
      </c>
      <c r="AC13" s="3" t="inlineStr">
        <is>
          <t>Quota B2Brand (€)</t>
        </is>
      </c>
      <c r="AD13" s="3" t="inlineStr">
        <is>
          <t>Resta a Kalab lordo (€)</t>
        </is>
      </c>
      <c r="AE13" s="3" t="inlineStr">
        <is>
          <t>Margine Kalab (€)</t>
        </is>
      </c>
      <c r="AF13" s="3" t="inlineStr">
        <is>
          <t>Costi fissi B2Brand (€)</t>
        </is>
      </c>
      <c r="AG13" s="3" t="inlineStr">
        <is>
          <t>Pubblicità (€)</t>
        </is>
      </c>
      <c r="AH13" s="3" t="inlineStr">
        <is>
          <t>Risultato B2Brand mese (€)</t>
        </is>
      </c>
      <c r="AI13" s="3" t="inlineStr">
        <is>
          <t>Cumulato B2Brand (€)</t>
        </is>
      </c>
    </row>
    <row r="14">
      <c r="A14" s="4" t="n">
        <v>1</v>
      </c>
      <c r="B14" s="4" t="n">
        <v>1</v>
      </c>
      <c r="C14" s="4">
        <f>ROUND(B$3*MIN(1,1/B$6)*Stagionalità!$B$4,0)</f>
        <v/>
      </c>
      <c r="D14" s="17">
        <f>C14*'Conti per prodotto'!$B$10</f>
        <v/>
      </c>
      <c r="E14" s="17">
        <f>C14*'Conti per prodotto'!$I$10</f>
        <v/>
      </c>
      <c r="F14" s="17">
        <f>D14-E14</f>
        <v/>
      </c>
      <c r="G14" s="17">
        <f>C14*'Conti per prodotto'!$O$10</f>
        <v/>
      </c>
      <c r="H14" s="17">
        <f>'Costi B2Brand'!$C$10+'Costi B2Brand'!$B$10</f>
        <v/>
      </c>
      <c r="I14" s="17">
        <f>B$7</f>
        <v/>
      </c>
      <c r="J14" s="17">
        <f>E14-H14-I14</f>
        <v/>
      </c>
      <c r="K14" s="17">
        <f>J14</f>
        <v/>
      </c>
      <c r="M14" s="4" t="n">
        <v>1</v>
      </c>
      <c r="N14" s="4" t="n">
        <v>1</v>
      </c>
      <c r="O14" s="4">
        <f>ROUND(C$3*MIN(1,1/C$6)*Stagionalità!$B$4,0)</f>
        <v/>
      </c>
      <c r="P14" s="17">
        <f>O14*'Conti per prodotto'!$B$10</f>
        <v/>
      </c>
      <c r="Q14" s="17">
        <f>O14*'Conti per prodotto'!$I$10</f>
        <v/>
      </c>
      <c r="R14" s="17">
        <f>P14-Q14</f>
        <v/>
      </c>
      <c r="S14" s="17">
        <f>O14*'Conti per prodotto'!$O$10</f>
        <v/>
      </c>
      <c r="T14" s="17">
        <f>'Costi B2Brand'!$C$10+'Costi B2Brand'!$B$10</f>
        <v/>
      </c>
      <c r="U14" s="17">
        <f>C$7</f>
        <v/>
      </c>
      <c r="V14" s="17">
        <f>Q14-T14-U14</f>
        <v/>
      </c>
      <c r="W14" s="17">
        <f>V14</f>
        <v/>
      </c>
      <c r="Y14" s="4" t="n">
        <v>1</v>
      </c>
      <c r="Z14" s="4" t="n">
        <v>1</v>
      </c>
      <c r="AA14" s="4">
        <f>ROUND(D$3*MIN(1,1/D$6)*Stagionalità!$B$4,0)</f>
        <v/>
      </c>
      <c r="AB14" s="17">
        <f>AA14*'Conti per prodotto'!$B$10</f>
        <v/>
      </c>
      <c r="AC14" s="17">
        <f>AA14*'Conti per prodotto'!$I$10</f>
        <v/>
      </c>
      <c r="AD14" s="17">
        <f>AB14-AC14</f>
        <v/>
      </c>
      <c r="AE14" s="17">
        <f>AA14*'Conti per prodotto'!$O$10</f>
        <v/>
      </c>
      <c r="AF14" s="17">
        <f>'Costi B2Brand'!$C$10+'Costi B2Brand'!$B$10</f>
        <v/>
      </c>
      <c r="AG14" s="17">
        <f>D$7</f>
        <v/>
      </c>
      <c r="AH14" s="17">
        <f>AC14-AF14-AG14</f>
        <v/>
      </c>
      <c r="AI14" s="17">
        <f>AH14</f>
        <v/>
      </c>
    </row>
    <row r="15">
      <c r="A15" s="4" t="n">
        <v>2</v>
      </c>
      <c r="B15" s="4" t="n">
        <v>1</v>
      </c>
      <c r="C15" s="4">
        <f>ROUND(B$3*MIN(1,2/B$6)*Stagionalità!$B$5,0)</f>
        <v/>
      </c>
      <c r="D15" s="17">
        <f>C15*'Conti per prodotto'!$B$10</f>
        <v/>
      </c>
      <c r="E15" s="17">
        <f>C15*'Conti per prodotto'!$I$10</f>
        <v/>
      </c>
      <c r="F15" s="17">
        <f>D15-E15</f>
        <v/>
      </c>
      <c r="G15" s="17">
        <f>C15*'Conti per prodotto'!$O$10</f>
        <v/>
      </c>
      <c r="H15" s="17">
        <f>'Costi B2Brand'!$C$10</f>
        <v/>
      </c>
      <c r="I15" s="17">
        <f>B$7</f>
        <v/>
      </c>
      <c r="J15" s="17">
        <f>E15-H15-I15</f>
        <v/>
      </c>
      <c r="K15" s="17">
        <f>K14+J15</f>
        <v/>
      </c>
      <c r="M15" s="4" t="n">
        <v>2</v>
      </c>
      <c r="N15" s="4" t="n">
        <v>1</v>
      </c>
      <c r="O15" s="4">
        <f>ROUND(C$3*MIN(1,2/C$6)*Stagionalità!$B$5,0)</f>
        <v/>
      </c>
      <c r="P15" s="17">
        <f>O15*'Conti per prodotto'!$B$10</f>
        <v/>
      </c>
      <c r="Q15" s="17">
        <f>O15*'Conti per prodotto'!$I$10</f>
        <v/>
      </c>
      <c r="R15" s="17">
        <f>P15-Q15</f>
        <v/>
      </c>
      <c r="S15" s="17">
        <f>O15*'Conti per prodotto'!$O$10</f>
        <v/>
      </c>
      <c r="T15" s="17">
        <f>'Costi B2Brand'!$C$10</f>
        <v/>
      </c>
      <c r="U15" s="17">
        <f>C$7</f>
        <v/>
      </c>
      <c r="V15" s="17">
        <f>Q15-T15-U15</f>
        <v/>
      </c>
      <c r="W15" s="17">
        <f>W14+V15</f>
        <v/>
      </c>
      <c r="Y15" s="4" t="n">
        <v>2</v>
      </c>
      <c r="Z15" s="4" t="n">
        <v>1</v>
      </c>
      <c r="AA15" s="4">
        <f>ROUND(D$3*MIN(1,2/D$6)*Stagionalità!$B$5,0)</f>
        <v/>
      </c>
      <c r="AB15" s="17">
        <f>AA15*'Conti per prodotto'!$B$10</f>
        <v/>
      </c>
      <c r="AC15" s="17">
        <f>AA15*'Conti per prodotto'!$I$10</f>
        <v/>
      </c>
      <c r="AD15" s="17">
        <f>AB15-AC15</f>
        <v/>
      </c>
      <c r="AE15" s="17">
        <f>AA15*'Conti per prodotto'!$O$10</f>
        <v/>
      </c>
      <c r="AF15" s="17">
        <f>'Costi B2Brand'!$C$10</f>
        <v/>
      </c>
      <c r="AG15" s="17">
        <f>D$7</f>
        <v/>
      </c>
      <c r="AH15" s="17">
        <f>AC15-AF15-AG15</f>
        <v/>
      </c>
      <c r="AI15" s="17">
        <f>AI14+AH15</f>
        <v/>
      </c>
    </row>
    <row r="16">
      <c r="A16" s="4" t="n">
        <v>3</v>
      </c>
      <c r="B16" s="4" t="n">
        <v>1</v>
      </c>
      <c r="C16" s="4">
        <f>ROUND(B$3*MIN(1,3/B$6)*Stagionalità!$B$6,0)</f>
        <v/>
      </c>
      <c r="D16" s="17">
        <f>C16*'Conti per prodotto'!$B$10</f>
        <v/>
      </c>
      <c r="E16" s="17">
        <f>C16*'Conti per prodotto'!$I$10</f>
        <v/>
      </c>
      <c r="F16" s="17">
        <f>D16-E16</f>
        <v/>
      </c>
      <c r="G16" s="17">
        <f>C16*'Conti per prodotto'!$O$10</f>
        <v/>
      </c>
      <c r="H16" s="17">
        <f>'Costi B2Brand'!$C$10</f>
        <v/>
      </c>
      <c r="I16" s="17">
        <f>B$7</f>
        <v/>
      </c>
      <c r="J16" s="17">
        <f>E16-H16-I16</f>
        <v/>
      </c>
      <c r="K16" s="17">
        <f>K15+J16</f>
        <v/>
      </c>
      <c r="M16" s="4" t="n">
        <v>3</v>
      </c>
      <c r="N16" s="4" t="n">
        <v>1</v>
      </c>
      <c r="O16" s="4">
        <f>ROUND(C$3*MIN(1,3/C$6)*Stagionalità!$B$6,0)</f>
        <v/>
      </c>
      <c r="P16" s="17">
        <f>O16*'Conti per prodotto'!$B$10</f>
        <v/>
      </c>
      <c r="Q16" s="17">
        <f>O16*'Conti per prodotto'!$I$10</f>
        <v/>
      </c>
      <c r="R16" s="17">
        <f>P16-Q16</f>
        <v/>
      </c>
      <c r="S16" s="17">
        <f>O16*'Conti per prodotto'!$O$10</f>
        <v/>
      </c>
      <c r="T16" s="17">
        <f>'Costi B2Brand'!$C$10</f>
        <v/>
      </c>
      <c r="U16" s="17">
        <f>C$7</f>
        <v/>
      </c>
      <c r="V16" s="17">
        <f>Q16-T16-U16</f>
        <v/>
      </c>
      <c r="W16" s="17">
        <f>W15+V16</f>
        <v/>
      </c>
      <c r="Y16" s="4" t="n">
        <v>3</v>
      </c>
      <c r="Z16" s="4" t="n">
        <v>1</v>
      </c>
      <c r="AA16" s="4">
        <f>ROUND(D$3*MIN(1,3/D$6)*Stagionalità!$B$6,0)</f>
        <v/>
      </c>
      <c r="AB16" s="17">
        <f>AA16*'Conti per prodotto'!$B$10</f>
        <v/>
      </c>
      <c r="AC16" s="17">
        <f>AA16*'Conti per prodotto'!$I$10</f>
        <v/>
      </c>
      <c r="AD16" s="17">
        <f>AB16-AC16</f>
        <v/>
      </c>
      <c r="AE16" s="17">
        <f>AA16*'Conti per prodotto'!$O$10</f>
        <v/>
      </c>
      <c r="AF16" s="17">
        <f>'Costi B2Brand'!$C$10</f>
        <v/>
      </c>
      <c r="AG16" s="17">
        <f>D$7</f>
        <v/>
      </c>
      <c r="AH16" s="17">
        <f>AC16-AF16-AG16</f>
        <v/>
      </c>
      <c r="AI16" s="17">
        <f>AI15+AH16</f>
        <v/>
      </c>
    </row>
    <row r="17">
      <c r="A17" s="4" t="n">
        <v>4</v>
      </c>
      <c r="B17" s="4" t="n">
        <v>1</v>
      </c>
      <c r="C17" s="4">
        <f>ROUND(B$3*MIN(1,4/B$6)*Stagionalità!$B$7,0)</f>
        <v/>
      </c>
      <c r="D17" s="17">
        <f>C17*'Conti per prodotto'!$B$10</f>
        <v/>
      </c>
      <c r="E17" s="17">
        <f>C17*'Conti per prodotto'!$I$10</f>
        <v/>
      </c>
      <c r="F17" s="17">
        <f>D17-E17</f>
        <v/>
      </c>
      <c r="G17" s="17">
        <f>C17*'Conti per prodotto'!$O$10</f>
        <v/>
      </c>
      <c r="H17" s="17">
        <f>'Costi B2Brand'!$C$10</f>
        <v/>
      </c>
      <c r="I17" s="17">
        <f>B$7</f>
        <v/>
      </c>
      <c r="J17" s="17">
        <f>E17-H17-I17</f>
        <v/>
      </c>
      <c r="K17" s="17">
        <f>K16+J17</f>
        <v/>
      </c>
      <c r="M17" s="4" t="n">
        <v>4</v>
      </c>
      <c r="N17" s="4" t="n">
        <v>1</v>
      </c>
      <c r="O17" s="4">
        <f>ROUND(C$3*MIN(1,4/C$6)*Stagionalità!$B$7,0)</f>
        <v/>
      </c>
      <c r="P17" s="17">
        <f>O17*'Conti per prodotto'!$B$10</f>
        <v/>
      </c>
      <c r="Q17" s="17">
        <f>O17*'Conti per prodotto'!$I$10</f>
        <v/>
      </c>
      <c r="R17" s="17">
        <f>P17-Q17</f>
        <v/>
      </c>
      <c r="S17" s="17">
        <f>O17*'Conti per prodotto'!$O$10</f>
        <v/>
      </c>
      <c r="T17" s="17">
        <f>'Costi B2Brand'!$C$10</f>
        <v/>
      </c>
      <c r="U17" s="17">
        <f>C$7</f>
        <v/>
      </c>
      <c r="V17" s="17">
        <f>Q17-T17-U17</f>
        <v/>
      </c>
      <c r="W17" s="17">
        <f>W16+V17</f>
        <v/>
      </c>
      <c r="Y17" s="4" t="n">
        <v>4</v>
      </c>
      <c r="Z17" s="4" t="n">
        <v>1</v>
      </c>
      <c r="AA17" s="4">
        <f>ROUND(D$3*MIN(1,4/D$6)*Stagionalità!$B$7,0)</f>
        <v/>
      </c>
      <c r="AB17" s="17">
        <f>AA17*'Conti per prodotto'!$B$10</f>
        <v/>
      </c>
      <c r="AC17" s="17">
        <f>AA17*'Conti per prodotto'!$I$10</f>
        <v/>
      </c>
      <c r="AD17" s="17">
        <f>AB17-AC17</f>
        <v/>
      </c>
      <c r="AE17" s="17">
        <f>AA17*'Conti per prodotto'!$O$10</f>
        <v/>
      </c>
      <c r="AF17" s="17">
        <f>'Costi B2Brand'!$C$10</f>
        <v/>
      </c>
      <c r="AG17" s="17">
        <f>D$7</f>
        <v/>
      </c>
      <c r="AH17" s="17">
        <f>AC17-AF17-AG17</f>
        <v/>
      </c>
      <c r="AI17" s="17">
        <f>AI16+AH17</f>
        <v/>
      </c>
    </row>
    <row r="18">
      <c r="A18" s="4" t="n">
        <v>5</v>
      </c>
      <c r="B18" s="4" t="n">
        <v>1</v>
      </c>
      <c r="C18" s="4">
        <f>ROUND(B$3*MIN(1,5/B$6)*Stagionalità!$B$8,0)</f>
        <v/>
      </c>
      <c r="D18" s="17">
        <f>C18*'Conti per prodotto'!$B$10</f>
        <v/>
      </c>
      <c r="E18" s="17">
        <f>C18*'Conti per prodotto'!$I$10</f>
        <v/>
      </c>
      <c r="F18" s="17">
        <f>D18-E18</f>
        <v/>
      </c>
      <c r="G18" s="17">
        <f>C18*'Conti per prodotto'!$O$10</f>
        <v/>
      </c>
      <c r="H18" s="17">
        <f>'Costi B2Brand'!$C$10</f>
        <v/>
      </c>
      <c r="I18" s="17">
        <f>B$7</f>
        <v/>
      </c>
      <c r="J18" s="17">
        <f>E18-H18-I18</f>
        <v/>
      </c>
      <c r="K18" s="17">
        <f>K17+J18</f>
        <v/>
      </c>
      <c r="M18" s="4" t="n">
        <v>5</v>
      </c>
      <c r="N18" s="4" t="n">
        <v>1</v>
      </c>
      <c r="O18" s="4">
        <f>ROUND(C$3*MIN(1,5/C$6)*Stagionalità!$B$8,0)</f>
        <v/>
      </c>
      <c r="P18" s="17">
        <f>O18*'Conti per prodotto'!$B$10</f>
        <v/>
      </c>
      <c r="Q18" s="17">
        <f>O18*'Conti per prodotto'!$I$10</f>
        <v/>
      </c>
      <c r="R18" s="17">
        <f>P18-Q18</f>
        <v/>
      </c>
      <c r="S18" s="17">
        <f>O18*'Conti per prodotto'!$O$10</f>
        <v/>
      </c>
      <c r="T18" s="17">
        <f>'Costi B2Brand'!$C$10</f>
        <v/>
      </c>
      <c r="U18" s="17">
        <f>C$7</f>
        <v/>
      </c>
      <c r="V18" s="17">
        <f>Q18-T18-U18</f>
        <v/>
      </c>
      <c r="W18" s="17">
        <f>W17+V18</f>
        <v/>
      </c>
      <c r="Y18" s="4" t="n">
        <v>5</v>
      </c>
      <c r="Z18" s="4" t="n">
        <v>1</v>
      </c>
      <c r="AA18" s="4">
        <f>ROUND(D$3*MIN(1,5/D$6)*Stagionalità!$B$8,0)</f>
        <v/>
      </c>
      <c r="AB18" s="17">
        <f>AA18*'Conti per prodotto'!$B$10</f>
        <v/>
      </c>
      <c r="AC18" s="17">
        <f>AA18*'Conti per prodotto'!$I$10</f>
        <v/>
      </c>
      <c r="AD18" s="17">
        <f>AB18-AC18</f>
        <v/>
      </c>
      <c r="AE18" s="17">
        <f>AA18*'Conti per prodotto'!$O$10</f>
        <v/>
      </c>
      <c r="AF18" s="17">
        <f>'Costi B2Brand'!$C$10</f>
        <v/>
      </c>
      <c r="AG18" s="17">
        <f>D$7</f>
        <v/>
      </c>
      <c r="AH18" s="17">
        <f>AC18-AF18-AG18</f>
        <v/>
      </c>
      <c r="AI18" s="17">
        <f>AI17+AH18</f>
        <v/>
      </c>
    </row>
    <row r="19">
      <c r="A19" s="4" t="n">
        <v>6</v>
      </c>
      <c r="B19" s="4" t="n">
        <v>1</v>
      </c>
      <c r="C19" s="4">
        <f>ROUND(B$3*MIN(1,6/B$6)*Stagionalità!$B$9,0)</f>
        <v/>
      </c>
      <c r="D19" s="17">
        <f>C19*'Conti per prodotto'!$B$10</f>
        <v/>
      </c>
      <c r="E19" s="17">
        <f>C19*'Conti per prodotto'!$I$10</f>
        <v/>
      </c>
      <c r="F19" s="17">
        <f>D19-E19</f>
        <v/>
      </c>
      <c r="G19" s="17">
        <f>C19*'Conti per prodotto'!$O$10</f>
        <v/>
      </c>
      <c r="H19" s="17">
        <f>'Costi B2Brand'!$C$10</f>
        <v/>
      </c>
      <c r="I19" s="17">
        <f>B$7</f>
        <v/>
      </c>
      <c r="J19" s="17">
        <f>E19-H19-I19</f>
        <v/>
      </c>
      <c r="K19" s="17">
        <f>K18+J19</f>
        <v/>
      </c>
      <c r="M19" s="4" t="n">
        <v>6</v>
      </c>
      <c r="N19" s="4" t="n">
        <v>1</v>
      </c>
      <c r="O19" s="4">
        <f>ROUND(C$3*MIN(1,6/C$6)*Stagionalità!$B$9,0)</f>
        <v/>
      </c>
      <c r="P19" s="17">
        <f>O19*'Conti per prodotto'!$B$10</f>
        <v/>
      </c>
      <c r="Q19" s="17">
        <f>O19*'Conti per prodotto'!$I$10</f>
        <v/>
      </c>
      <c r="R19" s="17">
        <f>P19-Q19</f>
        <v/>
      </c>
      <c r="S19" s="17">
        <f>O19*'Conti per prodotto'!$O$10</f>
        <v/>
      </c>
      <c r="T19" s="17">
        <f>'Costi B2Brand'!$C$10</f>
        <v/>
      </c>
      <c r="U19" s="17">
        <f>C$7</f>
        <v/>
      </c>
      <c r="V19" s="17">
        <f>Q19-T19-U19</f>
        <v/>
      </c>
      <c r="W19" s="17">
        <f>W18+V19</f>
        <v/>
      </c>
      <c r="Y19" s="4" t="n">
        <v>6</v>
      </c>
      <c r="Z19" s="4" t="n">
        <v>1</v>
      </c>
      <c r="AA19" s="4">
        <f>ROUND(D$3*MIN(1,6/D$6)*Stagionalità!$B$9,0)</f>
        <v/>
      </c>
      <c r="AB19" s="17">
        <f>AA19*'Conti per prodotto'!$B$10</f>
        <v/>
      </c>
      <c r="AC19" s="17">
        <f>AA19*'Conti per prodotto'!$I$10</f>
        <v/>
      </c>
      <c r="AD19" s="17">
        <f>AB19-AC19</f>
        <v/>
      </c>
      <c r="AE19" s="17">
        <f>AA19*'Conti per prodotto'!$O$10</f>
        <v/>
      </c>
      <c r="AF19" s="17">
        <f>'Costi B2Brand'!$C$10</f>
        <v/>
      </c>
      <c r="AG19" s="17">
        <f>D$7</f>
        <v/>
      </c>
      <c r="AH19" s="17">
        <f>AC19-AF19-AG19</f>
        <v/>
      </c>
      <c r="AI19" s="17">
        <f>AI18+AH19</f>
        <v/>
      </c>
    </row>
    <row r="20">
      <c r="A20" s="4" t="n">
        <v>7</v>
      </c>
      <c r="B20" s="4" t="n">
        <v>1</v>
      </c>
      <c r="C20" s="4">
        <f>ROUND(B$3*MIN(1,7/B$6)*Stagionalità!$B$10,0)</f>
        <v/>
      </c>
      <c r="D20" s="17">
        <f>C20*'Conti per prodotto'!$B$10</f>
        <v/>
      </c>
      <c r="E20" s="17">
        <f>C20*'Conti per prodotto'!$I$10</f>
        <v/>
      </c>
      <c r="F20" s="17">
        <f>D20-E20</f>
        <v/>
      </c>
      <c r="G20" s="17">
        <f>C20*'Conti per prodotto'!$O$10</f>
        <v/>
      </c>
      <c r="H20" s="17">
        <f>'Costi B2Brand'!$C$10</f>
        <v/>
      </c>
      <c r="I20" s="17">
        <f>B$7</f>
        <v/>
      </c>
      <c r="J20" s="17">
        <f>E20-H20-I20</f>
        <v/>
      </c>
      <c r="K20" s="17">
        <f>K19+J20</f>
        <v/>
      </c>
      <c r="M20" s="4" t="n">
        <v>7</v>
      </c>
      <c r="N20" s="4" t="n">
        <v>1</v>
      </c>
      <c r="O20" s="4">
        <f>ROUND(C$3*MIN(1,7/C$6)*Stagionalità!$B$10,0)</f>
        <v/>
      </c>
      <c r="P20" s="17">
        <f>O20*'Conti per prodotto'!$B$10</f>
        <v/>
      </c>
      <c r="Q20" s="17">
        <f>O20*'Conti per prodotto'!$I$10</f>
        <v/>
      </c>
      <c r="R20" s="17">
        <f>P20-Q20</f>
        <v/>
      </c>
      <c r="S20" s="17">
        <f>O20*'Conti per prodotto'!$O$10</f>
        <v/>
      </c>
      <c r="T20" s="17">
        <f>'Costi B2Brand'!$C$10</f>
        <v/>
      </c>
      <c r="U20" s="17">
        <f>C$7</f>
        <v/>
      </c>
      <c r="V20" s="17">
        <f>Q20-T20-U20</f>
        <v/>
      </c>
      <c r="W20" s="17">
        <f>W19+V20</f>
        <v/>
      </c>
      <c r="Y20" s="4" t="n">
        <v>7</v>
      </c>
      <c r="Z20" s="4" t="n">
        <v>1</v>
      </c>
      <c r="AA20" s="4">
        <f>ROUND(D$3*MIN(1,7/D$6)*Stagionalità!$B$10,0)</f>
        <v/>
      </c>
      <c r="AB20" s="17">
        <f>AA20*'Conti per prodotto'!$B$10</f>
        <v/>
      </c>
      <c r="AC20" s="17">
        <f>AA20*'Conti per prodotto'!$I$10</f>
        <v/>
      </c>
      <c r="AD20" s="17">
        <f>AB20-AC20</f>
        <v/>
      </c>
      <c r="AE20" s="17">
        <f>AA20*'Conti per prodotto'!$O$10</f>
        <v/>
      </c>
      <c r="AF20" s="17">
        <f>'Costi B2Brand'!$C$10</f>
        <v/>
      </c>
      <c r="AG20" s="17">
        <f>D$7</f>
        <v/>
      </c>
      <c r="AH20" s="17">
        <f>AC20-AF20-AG20</f>
        <v/>
      </c>
      <c r="AI20" s="17">
        <f>AI19+AH20</f>
        <v/>
      </c>
    </row>
    <row r="21">
      <c r="A21" s="4" t="n">
        <v>8</v>
      </c>
      <c r="B21" s="4" t="n">
        <v>1</v>
      </c>
      <c r="C21" s="4">
        <f>ROUND(B$3*MIN(1,8/B$6)*Stagionalità!$B$11,0)</f>
        <v/>
      </c>
      <c r="D21" s="17">
        <f>C21*'Conti per prodotto'!$B$10</f>
        <v/>
      </c>
      <c r="E21" s="17">
        <f>C21*'Conti per prodotto'!$I$10</f>
        <v/>
      </c>
      <c r="F21" s="17">
        <f>D21-E21</f>
        <v/>
      </c>
      <c r="G21" s="17">
        <f>C21*'Conti per prodotto'!$O$10</f>
        <v/>
      </c>
      <c r="H21" s="17">
        <f>'Costi B2Brand'!$C$10</f>
        <v/>
      </c>
      <c r="I21" s="17">
        <f>B$7</f>
        <v/>
      </c>
      <c r="J21" s="17">
        <f>E21-H21-I21</f>
        <v/>
      </c>
      <c r="K21" s="17">
        <f>K20+J21</f>
        <v/>
      </c>
      <c r="M21" s="4" t="n">
        <v>8</v>
      </c>
      <c r="N21" s="4" t="n">
        <v>1</v>
      </c>
      <c r="O21" s="4">
        <f>ROUND(C$3*MIN(1,8/C$6)*Stagionalità!$B$11,0)</f>
        <v/>
      </c>
      <c r="P21" s="17">
        <f>O21*'Conti per prodotto'!$B$10</f>
        <v/>
      </c>
      <c r="Q21" s="17">
        <f>O21*'Conti per prodotto'!$I$10</f>
        <v/>
      </c>
      <c r="R21" s="17">
        <f>P21-Q21</f>
        <v/>
      </c>
      <c r="S21" s="17">
        <f>O21*'Conti per prodotto'!$O$10</f>
        <v/>
      </c>
      <c r="T21" s="17">
        <f>'Costi B2Brand'!$C$10</f>
        <v/>
      </c>
      <c r="U21" s="17">
        <f>C$7</f>
        <v/>
      </c>
      <c r="V21" s="17">
        <f>Q21-T21-U21</f>
        <v/>
      </c>
      <c r="W21" s="17">
        <f>W20+V21</f>
        <v/>
      </c>
      <c r="Y21" s="4" t="n">
        <v>8</v>
      </c>
      <c r="Z21" s="4" t="n">
        <v>1</v>
      </c>
      <c r="AA21" s="4">
        <f>ROUND(D$3*MIN(1,8/D$6)*Stagionalità!$B$11,0)</f>
        <v/>
      </c>
      <c r="AB21" s="17">
        <f>AA21*'Conti per prodotto'!$B$10</f>
        <v/>
      </c>
      <c r="AC21" s="17">
        <f>AA21*'Conti per prodotto'!$I$10</f>
        <v/>
      </c>
      <c r="AD21" s="17">
        <f>AB21-AC21</f>
        <v/>
      </c>
      <c r="AE21" s="17">
        <f>AA21*'Conti per prodotto'!$O$10</f>
        <v/>
      </c>
      <c r="AF21" s="17">
        <f>'Costi B2Brand'!$C$10</f>
        <v/>
      </c>
      <c r="AG21" s="17">
        <f>D$7</f>
        <v/>
      </c>
      <c r="AH21" s="17">
        <f>AC21-AF21-AG21</f>
        <v/>
      </c>
      <c r="AI21" s="17">
        <f>AI20+AH21</f>
        <v/>
      </c>
    </row>
    <row r="22">
      <c r="A22" s="4" t="n">
        <v>9</v>
      </c>
      <c r="B22" s="4" t="n">
        <v>1</v>
      </c>
      <c r="C22" s="4">
        <f>ROUND(B$3*MIN(1,9/B$6)*Stagionalità!$B$12,0)</f>
        <v/>
      </c>
      <c r="D22" s="17">
        <f>C22*'Conti per prodotto'!$B$10</f>
        <v/>
      </c>
      <c r="E22" s="17">
        <f>C22*'Conti per prodotto'!$I$10</f>
        <v/>
      </c>
      <c r="F22" s="17">
        <f>D22-E22</f>
        <v/>
      </c>
      <c r="G22" s="17">
        <f>C22*'Conti per prodotto'!$O$10</f>
        <v/>
      </c>
      <c r="H22" s="17">
        <f>'Costi B2Brand'!$C$10</f>
        <v/>
      </c>
      <c r="I22" s="17">
        <f>B$7</f>
        <v/>
      </c>
      <c r="J22" s="17">
        <f>E22-H22-I22</f>
        <v/>
      </c>
      <c r="K22" s="17">
        <f>K21+J22</f>
        <v/>
      </c>
      <c r="M22" s="4" t="n">
        <v>9</v>
      </c>
      <c r="N22" s="4" t="n">
        <v>1</v>
      </c>
      <c r="O22" s="4">
        <f>ROUND(C$3*MIN(1,9/C$6)*Stagionalità!$B$12,0)</f>
        <v/>
      </c>
      <c r="P22" s="17">
        <f>O22*'Conti per prodotto'!$B$10</f>
        <v/>
      </c>
      <c r="Q22" s="17">
        <f>O22*'Conti per prodotto'!$I$10</f>
        <v/>
      </c>
      <c r="R22" s="17">
        <f>P22-Q22</f>
        <v/>
      </c>
      <c r="S22" s="17">
        <f>O22*'Conti per prodotto'!$O$10</f>
        <v/>
      </c>
      <c r="T22" s="17">
        <f>'Costi B2Brand'!$C$10</f>
        <v/>
      </c>
      <c r="U22" s="17">
        <f>C$7</f>
        <v/>
      </c>
      <c r="V22" s="17">
        <f>Q22-T22-U22</f>
        <v/>
      </c>
      <c r="W22" s="17">
        <f>W21+V22</f>
        <v/>
      </c>
      <c r="Y22" s="4" t="n">
        <v>9</v>
      </c>
      <c r="Z22" s="4" t="n">
        <v>1</v>
      </c>
      <c r="AA22" s="4">
        <f>ROUND(D$3*MIN(1,9/D$6)*Stagionalità!$B$12,0)</f>
        <v/>
      </c>
      <c r="AB22" s="17">
        <f>AA22*'Conti per prodotto'!$B$10</f>
        <v/>
      </c>
      <c r="AC22" s="17">
        <f>AA22*'Conti per prodotto'!$I$10</f>
        <v/>
      </c>
      <c r="AD22" s="17">
        <f>AB22-AC22</f>
        <v/>
      </c>
      <c r="AE22" s="17">
        <f>AA22*'Conti per prodotto'!$O$10</f>
        <v/>
      </c>
      <c r="AF22" s="17">
        <f>'Costi B2Brand'!$C$10</f>
        <v/>
      </c>
      <c r="AG22" s="17">
        <f>D$7</f>
        <v/>
      </c>
      <c r="AH22" s="17">
        <f>AC22-AF22-AG22</f>
        <v/>
      </c>
      <c r="AI22" s="17">
        <f>AI21+AH22</f>
        <v/>
      </c>
    </row>
    <row r="23">
      <c r="A23" s="4" t="n">
        <v>10</v>
      </c>
      <c r="B23" s="4" t="n">
        <v>1</v>
      </c>
      <c r="C23" s="4">
        <f>ROUND(B$3*MIN(1,10/B$6)*Stagionalità!$B$13,0)</f>
        <v/>
      </c>
      <c r="D23" s="17">
        <f>C23*'Conti per prodotto'!$B$10</f>
        <v/>
      </c>
      <c r="E23" s="17">
        <f>C23*'Conti per prodotto'!$I$10</f>
        <v/>
      </c>
      <c r="F23" s="17">
        <f>D23-E23</f>
        <v/>
      </c>
      <c r="G23" s="17">
        <f>C23*'Conti per prodotto'!$O$10</f>
        <v/>
      </c>
      <c r="H23" s="17">
        <f>'Costi B2Brand'!$C$10</f>
        <v/>
      </c>
      <c r="I23" s="17">
        <f>B$7</f>
        <v/>
      </c>
      <c r="J23" s="17">
        <f>E23-H23-I23</f>
        <v/>
      </c>
      <c r="K23" s="17">
        <f>K22+J23</f>
        <v/>
      </c>
      <c r="M23" s="4" t="n">
        <v>10</v>
      </c>
      <c r="N23" s="4" t="n">
        <v>1</v>
      </c>
      <c r="O23" s="4">
        <f>ROUND(C$3*MIN(1,10/C$6)*Stagionalità!$B$13,0)</f>
        <v/>
      </c>
      <c r="P23" s="17">
        <f>O23*'Conti per prodotto'!$B$10</f>
        <v/>
      </c>
      <c r="Q23" s="17">
        <f>O23*'Conti per prodotto'!$I$10</f>
        <v/>
      </c>
      <c r="R23" s="17">
        <f>P23-Q23</f>
        <v/>
      </c>
      <c r="S23" s="17">
        <f>O23*'Conti per prodotto'!$O$10</f>
        <v/>
      </c>
      <c r="T23" s="17">
        <f>'Costi B2Brand'!$C$10</f>
        <v/>
      </c>
      <c r="U23" s="17">
        <f>C$7</f>
        <v/>
      </c>
      <c r="V23" s="17">
        <f>Q23-T23-U23</f>
        <v/>
      </c>
      <c r="W23" s="17">
        <f>W22+V23</f>
        <v/>
      </c>
      <c r="Y23" s="4" t="n">
        <v>10</v>
      </c>
      <c r="Z23" s="4" t="n">
        <v>1</v>
      </c>
      <c r="AA23" s="4">
        <f>ROUND(D$3*MIN(1,10/D$6)*Stagionalità!$B$13,0)</f>
        <v/>
      </c>
      <c r="AB23" s="17">
        <f>AA23*'Conti per prodotto'!$B$10</f>
        <v/>
      </c>
      <c r="AC23" s="17">
        <f>AA23*'Conti per prodotto'!$I$10</f>
        <v/>
      </c>
      <c r="AD23" s="17">
        <f>AB23-AC23</f>
        <v/>
      </c>
      <c r="AE23" s="17">
        <f>AA23*'Conti per prodotto'!$O$10</f>
        <v/>
      </c>
      <c r="AF23" s="17">
        <f>'Costi B2Brand'!$C$10</f>
        <v/>
      </c>
      <c r="AG23" s="17">
        <f>D$7</f>
        <v/>
      </c>
      <c r="AH23" s="17">
        <f>AC23-AF23-AG23</f>
        <v/>
      </c>
      <c r="AI23" s="17">
        <f>AI22+AH23</f>
        <v/>
      </c>
    </row>
    <row r="24">
      <c r="A24" s="4" t="n">
        <v>11</v>
      </c>
      <c r="B24" s="4" t="n">
        <v>1</v>
      </c>
      <c r="C24" s="4">
        <f>ROUND(B$3*MIN(1,11/B$6)*Stagionalità!$B$2,0)</f>
        <v/>
      </c>
      <c r="D24" s="17">
        <f>C24*'Conti per prodotto'!$B$10</f>
        <v/>
      </c>
      <c r="E24" s="17">
        <f>C24*'Conti per prodotto'!$I$10</f>
        <v/>
      </c>
      <c r="F24" s="17">
        <f>D24-E24</f>
        <v/>
      </c>
      <c r="G24" s="17">
        <f>C24*'Conti per prodotto'!$O$10</f>
        <v/>
      </c>
      <c r="H24" s="17">
        <f>'Costi B2Brand'!$C$10</f>
        <v/>
      </c>
      <c r="I24" s="17">
        <f>B$7</f>
        <v/>
      </c>
      <c r="J24" s="17">
        <f>E24-H24-I24</f>
        <v/>
      </c>
      <c r="K24" s="17">
        <f>K23+J24</f>
        <v/>
      </c>
      <c r="M24" s="4" t="n">
        <v>11</v>
      </c>
      <c r="N24" s="4" t="n">
        <v>1</v>
      </c>
      <c r="O24" s="4">
        <f>ROUND(C$3*MIN(1,11/C$6)*Stagionalità!$B$2,0)</f>
        <v/>
      </c>
      <c r="P24" s="17">
        <f>O24*'Conti per prodotto'!$B$10</f>
        <v/>
      </c>
      <c r="Q24" s="17">
        <f>O24*'Conti per prodotto'!$I$10</f>
        <v/>
      </c>
      <c r="R24" s="17">
        <f>P24-Q24</f>
        <v/>
      </c>
      <c r="S24" s="17">
        <f>O24*'Conti per prodotto'!$O$10</f>
        <v/>
      </c>
      <c r="T24" s="17">
        <f>'Costi B2Brand'!$C$10</f>
        <v/>
      </c>
      <c r="U24" s="17">
        <f>C$7</f>
        <v/>
      </c>
      <c r="V24" s="17">
        <f>Q24-T24-U24</f>
        <v/>
      </c>
      <c r="W24" s="17">
        <f>W23+V24</f>
        <v/>
      </c>
      <c r="Y24" s="4" t="n">
        <v>11</v>
      </c>
      <c r="Z24" s="4" t="n">
        <v>1</v>
      </c>
      <c r="AA24" s="4">
        <f>ROUND(D$3*MIN(1,11/D$6)*Stagionalità!$B$2,0)</f>
        <v/>
      </c>
      <c r="AB24" s="17">
        <f>AA24*'Conti per prodotto'!$B$10</f>
        <v/>
      </c>
      <c r="AC24" s="17">
        <f>AA24*'Conti per prodotto'!$I$10</f>
        <v/>
      </c>
      <c r="AD24" s="17">
        <f>AB24-AC24</f>
        <v/>
      </c>
      <c r="AE24" s="17">
        <f>AA24*'Conti per prodotto'!$O$10</f>
        <v/>
      </c>
      <c r="AF24" s="17">
        <f>'Costi B2Brand'!$C$10</f>
        <v/>
      </c>
      <c r="AG24" s="17">
        <f>D$7</f>
        <v/>
      </c>
      <c r="AH24" s="17">
        <f>AC24-AF24-AG24</f>
        <v/>
      </c>
      <c r="AI24" s="17">
        <f>AI23+AH24</f>
        <v/>
      </c>
    </row>
    <row r="25">
      <c r="A25" s="4" t="n">
        <v>12</v>
      </c>
      <c r="B25" s="4" t="n">
        <v>1</v>
      </c>
      <c r="C25" s="4">
        <f>ROUND(B$3*MIN(1,12/B$6)*Stagionalità!$B$3,0)</f>
        <v/>
      </c>
      <c r="D25" s="17">
        <f>C25*'Conti per prodotto'!$B$10</f>
        <v/>
      </c>
      <c r="E25" s="17">
        <f>C25*'Conti per prodotto'!$I$10</f>
        <v/>
      </c>
      <c r="F25" s="17">
        <f>D25-E25</f>
        <v/>
      </c>
      <c r="G25" s="17">
        <f>C25*'Conti per prodotto'!$O$10</f>
        <v/>
      </c>
      <c r="H25" s="17">
        <f>'Costi B2Brand'!$C$10</f>
        <v/>
      </c>
      <c r="I25" s="17">
        <f>B$7</f>
        <v/>
      </c>
      <c r="J25" s="17">
        <f>E25-H25-I25</f>
        <v/>
      </c>
      <c r="K25" s="17">
        <f>K24+J25</f>
        <v/>
      </c>
      <c r="M25" s="4" t="n">
        <v>12</v>
      </c>
      <c r="N25" s="4" t="n">
        <v>1</v>
      </c>
      <c r="O25" s="4">
        <f>ROUND(C$3*MIN(1,12/C$6)*Stagionalità!$B$3,0)</f>
        <v/>
      </c>
      <c r="P25" s="17">
        <f>O25*'Conti per prodotto'!$B$10</f>
        <v/>
      </c>
      <c r="Q25" s="17">
        <f>O25*'Conti per prodotto'!$I$10</f>
        <v/>
      </c>
      <c r="R25" s="17">
        <f>P25-Q25</f>
        <v/>
      </c>
      <c r="S25" s="17">
        <f>O25*'Conti per prodotto'!$O$10</f>
        <v/>
      </c>
      <c r="T25" s="17">
        <f>'Costi B2Brand'!$C$10</f>
        <v/>
      </c>
      <c r="U25" s="17">
        <f>C$7</f>
        <v/>
      </c>
      <c r="V25" s="17">
        <f>Q25-T25-U25</f>
        <v/>
      </c>
      <c r="W25" s="17">
        <f>W24+V25</f>
        <v/>
      </c>
      <c r="Y25" s="4" t="n">
        <v>12</v>
      </c>
      <c r="Z25" s="4" t="n">
        <v>1</v>
      </c>
      <c r="AA25" s="4">
        <f>ROUND(D$3*MIN(1,12/D$6)*Stagionalità!$B$3,0)</f>
        <v/>
      </c>
      <c r="AB25" s="17">
        <f>AA25*'Conti per prodotto'!$B$10</f>
        <v/>
      </c>
      <c r="AC25" s="17">
        <f>AA25*'Conti per prodotto'!$I$10</f>
        <v/>
      </c>
      <c r="AD25" s="17">
        <f>AB25-AC25</f>
        <v/>
      </c>
      <c r="AE25" s="17">
        <f>AA25*'Conti per prodotto'!$O$10</f>
        <v/>
      </c>
      <c r="AF25" s="17">
        <f>'Costi B2Brand'!$C$10</f>
        <v/>
      </c>
      <c r="AG25" s="17">
        <f>D$7</f>
        <v/>
      </c>
      <c r="AH25" s="17">
        <f>AC25-AF25-AG25</f>
        <v/>
      </c>
      <c r="AI25" s="17">
        <f>AI24+AH25</f>
        <v/>
      </c>
    </row>
    <row r="26">
      <c r="A26" s="4" t="n">
        <v>13</v>
      </c>
      <c r="B26" s="4" t="n">
        <v>2</v>
      </c>
      <c r="C26" s="4">
        <f>ROUND(B$4*Stagionalità!$B$4,0)</f>
        <v/>
      </c>
      <c r="D26" s="17">
        <f>C26*'Conti per prodotto'!$B$10</f>
        <v/>
      </c>
      <c r="E26" s="17">
        <f>C26*'Conti per prodotto'!$I$10</f>
        <v/>
      </c>
      <c r="F26" s="17">
        <f>D26-E26</f>
        <v/>
      </c>
      <c r="G26" s="17">
        <f>C26*'Conti per prodotto'!$O$10</f>
        <v/>
      </c>
      <c r="H26" s="17">
        <f>'Costi B2Brand'!$D$10</f>
        <v/>
      </c>
      <c r="I26" s="17">
        <f>B$8</f>
        <v/>
      </c>
      <c r="J26" s="17">
        <f>E26-H26-I26</f>
        <v/>
      </c>
      <c r="K26" s="17">
        <f>K25+J26</f>
        <v/>
      </c>
      <c r="M26" s="4" t="n">
        <v>13</v>
      </c>
      <c r="N26" s="4" t="n">
        <v>2</v>
      </c>
      <c r="O26" s="4">
        <f>ROUND(C$4*Stagionalità!$B$4,0)</f>
        <v/>
      </c>
      <c r="P26" s="17">
        <f>O26*'Conti per prodotto'!$B$10</f>
        <v/>
      </c>
      <c r="Q26" s="17">
        <f>O26*'Conti per prodotto'!$I$10</f>
        <v/>
      </c>
      <c r="R26" s="17">
        <f>P26-Q26</f>
        <v/>
      </c>
      <c r="S26" s="17">
        <f>O26*'Conti per prodotto'!$O$10</f>
        <v/>
      </c>
      <c r="T26" s="17">
        <f>'Costi B2Brand'!$D$10</f>
        <v/>
      </c>
      <c r="U26" s="17">
        <f>C$8</f>
        <v/>
      </c>
      <c r="V26" s="17">
        <f>Q26-T26-U26</f>
        <v/>
      </c>
      <c r="W26" s="17">
        <f>W25+V26</f>
        <v/>
      </c>
      <c r="Y26" s="4" t="n">
        <v>13</v>
      </c>
      <c r="Z26" s="4" t="n">
        <v>2</v>
      </c>
      <c r="AA26" s="4">
        <f>ROUND(D$4*Stagionalità!$B$4,0)</f>
        <v/>
      </c>
      <c r="AB26" s="17">
        <f>AA26*'Conti per prodotto'!$B$10</f>
        <v/>
      </c>
      <c r="AC26" s="17">
        <f>AA26*'Conti per prodotto'!$I$10</f>
        <v/>
      </c>
      <c r="AD26" s="17">
        <f>AB26-AC26</f>
        <v/>
      </c>
      <c r="AE26" s="17">
        <f>AA26*'Conti per prodotto'!$O$10</f>
        <v/>
      </c>
      <c r="AF26" s="17">
        <f>'Costi B2Brand'!$D$10</f>
        <v/>
      </c>
      <c r="AG26" s="17">
        <f>D$8</f>
        <v/>
      </c>
      <c r="AH26" s="17">
        <f>AC26-AF26-AG26</f>
        <v/>
      </c>
      <c r="AI26" s="17">
        <f>AI25+AH26</f>
        <v/>
      </c>
    </row>
    <row r="27">
      <c r="A27" s="4" t="n">
        <v>14</v>
      </c>
      <c r="B27" s="4" t="n">
        <v>2</v>
      </c>
      <c r="C27" s="4">
        <f>ROUND(B$4*Stagionalità!$B$5,0)</f>
        <v/>
      </c>
      <c r="D27" s="17">
        <f>C27*'Conti per prodotto'!$B$10</f>
        <v/>
      </c>
      <c r="E27" s="17">
        <f>C27*'Conti per prodotto'!$I$10</f>
        <v/>
      </c>
      <c r="F27" s="17">
        <f>D27-E27</f>
        <v/>
      </c>
      <c r="G27" s="17">
        <f>C27*'Conti per prodotto'!$O$10</f>
        <v/>
      </c>
      <c r="H27" s="17">
        <f>'Costi B2Brand'!$D$10</f>
        <v/>
      </c>
      <c r="I27" s="17">
        <f>B$8</f>
        <v/>
      </c>
      <c r="J27" s="17">
        <f>E27-H27-I27</f>
        <v/>
      </c>
      <c r="K27" s="17">
        <f>K26+J27</f>
        <v/>
      </c>
      <c r="M27" s="4" t="n">
        <v>14</v>
      </c>
      <c r="N27" s="4" t="n">
        <v>2</v>
      </c>
      <c r="O27" s="4">
        <f>ROUND(C$4*Stagionalità!$B$5,0)</f>
        <v/>
      </c>
      <c r="P27" s="17">
        <f>O27*'Conti per prodotto'!$B$10</f>
        <v/>
      </c>
      <c r="Q27" s="17">
        <f>O27*'Conti per prodotto'!$I$10</f>
        <v/>
      </c>
      <c r="R27" s="17">
        <f>P27-Q27</f>
        <v/>
      </c>
      <c r="S27" s="17">
        <f>O27*'Conti per prodotto'!$O$10</f>
        <v/>
      </c>
      <c r="T27" s="17">
        <f>'Costi B2Brand'!$D$10</f>
        <v/>
      </c>
      <c r="U27" s="17">
        <f>C$8</f>
        <v/>
      </c>
      <c r="V27" s="17">
        <f>Q27-T27-U27</f>
        <v/>
      </c>
      <c r="W27" s="17">
        <f>W26+V27</f>
        <v/>
      </c>
      <c r="Y27" s="4" t="n">
        <v>14</v>
      </c>
      <c r="Z27" s="4" t="n">
        <v>2</v>
      </c>
      <c r="AA27" s="4">
        <f>ROUND(D$4*Stagionalità!$B$5,0)</f>
        <v/>
      </c>
      <c r="AB27" s="17">
        <f>AA27*'Conti per prodotto'!$B$10</f>
        <v/>
      </c>
      <c r="AC27" s="17">
        <f>AA27*'Conti per prodotto'!$I$10</f>
        <v/>
      </c>
      <c r="AD27" s="17">
        <f>AB27-AC27</f>
        <v/>
      </c>
      <c r="AE27" s="17">
        <f>AA27*'Conti per prodotto'!$O$10</f>
        <v/>
      </c>
      <c r="AF27" s="17">
        <f>'Costi B2Brand'!$D$10</f>
        <v/>
      </c>
      <c r="AG27" s="17">
        <f>D$8</f>
        <v/>
      </c>
      <c r="AH27" s="17">
        <f>AC27-AF27-AG27</f>
        <v/>
      </c>
      <c r="AI27" s="17">
        <f>AI26+AH27</f>
        <v/>
      </c>
    </row>
    <row r="28">
      <c r="A28" s="4" t="n">
        <v>15</v>
      </c>
      <c r="B28" s="4" t="n">
        <v>2</v>
      </c>
      <c r="C28" s="4">
        <f>ROUND(B$4*Stagionalità!$B$6,0)</f>
        <v/>
      </c>
      <c r="D28" s="17">
        <f>C28*'Conti per prodotto'!$B$10</f>
        <v/>
      </c>
      <c r="E28" s="17">
        <f>C28*'Conti per prodotto'!$I$10</f>
        <v/>
      </c>
      <c r="F28" s="17">
        <f>D28-E28</f>
        <v/>
      </c>
      <c r="G28" s="17">
        <f>C28*'Conti per prodotto'!$O$10</f>
        <v/>
      </c>
      <c r="H28" s="17">
        <f>'Costi B2Brand'!$D$10</f>
        <v/>
      </c>
      <c r="I28" s="17">
        <f>B$8</f>
        <v/>
      </c>
      <c r="J28" s="17">
        <f>E28-H28-I28</f>
        <v/>
      </c>
      <c r="K28" s="17">
        <f>K27+J28</f>
        <v/>
      </c>
      <c r="M28" s="4" t="n">
        <v>15</v>
      </c>
      <c r="N28" s="4" t="n">
        <v>2</v>
      </c>
      <c r="O28" s="4">
        <f>ROUND(C$4*Stagionalità!$B$6,0)</f>
        <v/>
      </c>
      <c r="P28" s="17">
        <f>O28*'Conti per prodotto'!$B$10</f>
        <v/>
      </c>
      <c r="Q28" s="17">
        <f>O28*'Conti per prodotto'!$I$10</f>
        <v/>
      </c>
      <c r="R28" s="17">
        <f>P28-Q28</f>
        <v/>
      </c>
      <c r="S28" s="17">
        <f>O28*'Conti per prodotto'!$O$10</f>
        <v/>
      </c>
      <c r="T28" s="17">
        <f>'Costi B2Brand'!$D$10</f>
        <v/>
      </c>
      <c r="U28" s="17">
        <f>C$8</f>
        <v/>
      </c>
      <c r="V28" s="17">
        <f>Q28-T28-U28</f>
        <v/>
      </c>
      <c r="W28" s="17">
        <f>W27+V28</f>
        <v/>
      </c>
      <c r="Y28" s="4" t="n">
        <v>15</v>
      </c>
      <c r="Z28" s="4" t="n">
        <v>2</v>
      </c>
      <c r="AA28" s="4">
        <f>ROUND(D$4*Stagionalità!$B$6,0)</f>
        <v/>
      </c>
      <c r="AB28" s="17">
        <f>AA28*'Conti per prodotto'!$B$10</f>
        <v/>
      </c>
      <c r="AC28" s="17">
        <f>AA28*'Conti per prodotto'!$I$10</f>
        <v/>
      </c>
      <c r="AD28" s="17">
        <f>AB28-AC28</f>
        <v/>
      </c>
      <c r="AE28" s="17">
        <f>AA28*'Conti per prodotto'!$O$10</f>
        <v/>
      </c>
      <c r="AF28" s="17">
        <f>'Costi B2Brand'!$D$10</f>
        <v/>
      </c>
      <c r="AG28" s="17">
        <f>D$8</f>
        <v/>
      </c>
      <c r="AH28" s="17">
        <f>AC28-AF28-AG28</f>
        <v/>
      </c>
      <c r="AI28" s="17">
        <f>AI27+AH28</f>
        <v/>
      </c>
    </row>
    <row r="29">
      <c r="A29" s="4" t="n">
        <v>16</v>
      </c>
      <c r="B29" s="4" t="n">
        <v>2</v>
      </c>
      <c r="C29" s="4">
        <f>ROUND(B$4*Stagionalità!$B$7,0)</f>
        <v/>
      </c>
      <c r="D29" s="17">
        <f>C29*'Conti per prodotto'!$B$10</f>
        <v/>
      </c>
      <c r="E29" s="17">
        <f>C29*'Conti per prodotto'!$I$10</f>
        <v/>
      </c>
      <c r="F29" s="17">
        <f>D29-E29</f>
        <v/>
      </c>
      <c r="G29" s="17">
        <f>C29*'Conti per prodotto'!$O$10</f>
        <v/>
      </c>
      <c r="H29" s="17">
        <f>'Costi B2Brand'!$D$10</f>
        <v/>
      </c>
      <c r="I29" s="17">
        <f>B$8</f>
        <v/>
      </c>
      <c r="J29" s="17">
        <f>E29-H29-I29</f>
        <v/>
      </c>
      <c r="K29" s="17">
        <f>K28+J29</f>
        <v/>
      </c>
      <c r="M29" s="4" t="n">
        <v>16</v>
      </c>
      <c r="N29" s="4" t="n">
        <v>2</v>
      </c>
      <c r="O29" s="4">
        <f>ROUND(C$4*Stagionalità!$B$7,0)</f>
        <v/>
      </c>
      <c r="P29" s="17">
        <f>O29*'Conti per prodotto'!$B$10</f>
        <v/>
      </c>
      <c r="Q29" s="17">
        <f>O29*'Conti per prodotto'!$I$10</f>
        <v/>
      </c>
      <c r="R29" s="17">
        <f>P29-Q29</f>
        <v/>
      </c>
      <c r="S29" s="17">
        <f>O29*'Conti per prodotto'!$O$10</f>
        <v/>
      </c>
      <c r="T29" s="17">
        <f>'Costi B2Brand'!$D$10</f>
        <v/>
      </c>
      <c r="U29" s="17">
        <f>C$8</f>
        <v/>
      </c>
      <c r="V29" s="17">
        <f>Q29-T29-U29</f>
        <v/>
      </c>
      <c r="W29" s="17">
        <f>W28+V29</f>
        <v/>
      </c>
      <c r="Y29" s="4" t="n">
        <v>16</v>
      </c>
      <c r="Z29" s="4" t="n">
        <v>2</v>
      </c>
      <c r="AA29" s="4">
        <f>ROUND(D$4*Stagionalità!$B$7,0)</f>
        <v/>
      </c>
      <c r="AB29" s="17">
        <f>AA29*'Conti per prodotto'!$B$10</f>
        <v/>
      </c>
      <c r="AC29" s="17">
        <f>AA29*'Conti per prodotto'!$I$10</f>
        <v/>
      </c>
      <c r="AD29" s="17">
        <f>AB29-AC29</f>
        <v/>
      </c>
      <c r="AE29" s="17">
        <f>AA29*'Conti per prodotto'!$O$10</f>
        <v/>
      </c>
      <c r="AF29" s="17">
        <f>'Costi B2Brand'!$D$10</f>
        <v/>
      </c>
      <c r="AG29" s="17">
        <f>D$8</f>
        <v/>
      </c>
      <c r="AH29" s="17">
        <f>AC29-AF29-AG29</f>
        <v/>
      </c>
      <c r="AI29" s="17">
        <f>AI28+AH29</f>
        <v/>
      </c>
    </row>
    <row r="30">
      <c r="A30" s="4" t="n">
        <v>17</v>
      </c>
      <c r="B30" s="4" t="n">
        <v>2</v>
      </c>
      <c r="C30" s="4">
        <f>ROUND(B$4*Stagionalità!$B$8,0)</f>
        <v/>
      </c>
      <c r="D30" s="17">
        <f>C30*'Conti per prodotto'!$B$10</f>
        <v/>
      </c>
      <c r="E30" s="17">
        <f>C30*'Conti per prodotto'!$I$10</f>
        <v/>
      </c>
      <c r="F30" s="17">
        <f>D30-E30</f>
        <v/>
      </c>
      <c r="G30" s="17">
        <f>C30*'Conti per prodotto'!$O$10</f>
        <v/>
      </c>
      <c r="H30" s="17">
        <f>'Costi B2Brand'!$D$10</f>
        <v/>
      </c>
      <c r="I30" s="17">
        <f>B$8</f>
        <v/>
      </c>
      <c r="J30" s="17">
        <f>E30-H30-I30</f>
        <v/>
      </c>
      <c r="K30" s="17">
        <f>K29+J30</f>
        <v/>
      </c>
      <c r="M30" s="4" t="n">
        <v>17</v>
      </c>
      <c r="N30" s="4" t="n">
        <v>2</v>
      </c>
      <c r="O30" s="4">
        <f>ROUND(C$4*Stagionalità!$B$8,0)</f>
        <v/>
      </c>
      <c r="P30" s="17">
        <f>O30*'Conti per prodotto'!$B$10</f>
        <v/>
      </c>
      <c r="Q30" s="17">
        <f>O30*'Conti per prodotto'!$I$10</f>
        <v/>
      </c>
      <c r="R30" s="17">
        <f>P30-Q30</f>
        <v/>
      </c>
      <c r="S30" s="17">
        <f>O30*'Conti per prodotto'!$O$10</f>
        <v/>
      </c>
      <c r="T30" s="17">
        <f>'Costi B2Brand'!$D$10</f>
        <v/>
      </c>
      <c r="U30" s="17">
        <f>C$8</f>
        <v/>
      </c>
      <c r="V30" s="17">
        <f>Q30-T30-U30</f>
        <v/>
      </c>
      <c r="W30" s="17">
        <f>W29+V30</f>
        <v/>
      </c>
      <c r="Y30" s="4" t="n">
        <v>17</v>
      </c>
      <c r="Z30" s="4" t="n">
        <v>2</v>
      </c>
      <c r="AA30" s="4">
        <f>ROUND(D$4*Stagionalità!$B$8,0)</f>
        <v/>
      </c>
      <c r="AB30" s="17">
        <f>AA30*'Conti per prodotto'!$B$10</f>
        <v/>
      </c>
      <c r="AC30" s="17">
        <f>AA30*'Conti per prodotto'!$I$10</f>
        <v/>
      </c>
      <c r="AD30" s="17">
        <f>AB30-AC30</f>
        <v/>
      </c>
      <c r="AE30" s="17">
        <f>AA30*'Conti per prodotto'!$O$10</f>
        <v/>
      </c>
      <c r="AF30" s="17">
        <f>'Costi B2Brand'!$D$10</f>
        <v/>
      </c>
      <c r="AG30" s="17">
        <f>D$8</f>
        <v/>
      </c>
      <c r="AH30" s="17">
        <f>AC30-AF30-AG30</f>
        <v/>
      </c>
      <c r="AI30" s="17">
        <f>AI29+AH30</f>
        <v/>
      </c>
    </row>
    <row r="31">
      <c r="A31" s="4" t="n">
        <v>18</v>
      </c>
      <c r="B31" s="4" t="n">
        <v>2</v>
      </c>
      <c r="C31" s="4">
        <f>ROUND(B$4*Stagionalità!$B$9,0)</f>
        <v/>
      </c>
      <c r="D31" s="17">
        <f>C31*'Conti per prodotto'!$B$10</f>
        <v/>
      </c>
      <c r="E31" s="17">
        <f>C31*'Conti per prodotto'!$I$10</f>
        <v/>
      </c>
      <c r="F31" s="17">
        <f>D31-E31</f>
        <v/>
      </c>
      <c r="G31" s="17">
        <f>C31*'Conti per prodotto'!$O$10</f>
        <v/>
      </c>
      <c r="H31" s="17">
        <f>'Costi B2Brand'!$D$10</f>
        <v/>
      </c>
      <c r="I31" s="17">
        <f>B$8</f>
        <v/>
      </c>
      <c r="J31" s="17">
        <f>E31-H31-I31</f>
        <v/>
      </c>
      <c r="K31" s="17">
        <f>K30+J31</f>
        <v/>
      </c>
      <c r="M31" s="4" t="n">
        <v>18</v>
      </c>
      <c r="N31" s="4" t="n">
        <v>2</v>
      </c>
      <c r="O31" s="4">
        <f>ROUND(C$4*Stagionalità!$B$9,0)</f>
        <v/>
      </c>
      <c r="P31" s="17">
        <f>O31*'Conti per prodotto'!$B$10</f>
        <v/>
      </c>
      <c r="Q31" s="17">
        <f>O31*'Conti per prodotto'!$I$10</f>
        <v/>
      </c>
      <c r="R31" s="17">
        <f>P31-Q31</f>
        <v/>
      </c>
      <c r="S31" s="17">
        <f>O31*'Conti per prodotto'!$O$10</f>
        <v/>
      </c>
      <c r="T31" s="17">
        <f>'Costi B2Brand'!$D$10</f>
        <v/>
      </c>
      <c r="U31" s="17">
        <f>C$8</f>
        <v/>
      </c>
      <c r="V31" s="17">
        <f>Q31-T31-U31</f>
        <v/>
      </c>
      <c r="W31" s="17">
        <f>W30+V31</f>
        <v/>
      </c>
      <c r="Y31" s="4" t="n">
        <v>18</v>
      </c>
      <c r="Z31" s="4" t="n">
        <v>2</v>
      </c>
      <c r="AA31" s="4">
        <f>ROUND(D$4*Stagionalità!$B$9,0)</f>
        <v/>
      </c>
      <c r="AB31" s="17">
        <f>AA31*'Conti per prodotto'!$B$10</f>
        <v/>
      </c>
      <c r="AC31" s="17">
        <f>AA31*'Conti per prodotto'!$I$10</f>
        <v/>
      </c>
      <c r="AD31" s="17">
        <f>AB31-AC31</f>
        <v/>
      </c>
      <c r="AE31" s="17">
        <f>AA31*'Conti per prodotto'!$O$10</f>
        <v/>
      </c>
      <c r="AF31" s="17">
        <f>'Costi B2Brand'!$D$10</f>
        <v/>
      </c>
      <c r="AG31" s="17">
        <f>D$8</f>
        <v/>
      </c>
      <c r="AH31" s="17">
        <f>AC31-AF31-AG31</f>
        <v/>
      </c>
      <c r="AI31" s="17">
        <f>AI30+AH31</f>
        <v/>
      </c>
    </row>
    <row r="32">
      <c r="A32" s="4" t="n">
        <v>19</v>
      </c>
      <c r="B32" s="4" t="n">
        <v>2</v>
      </c>
      <c r="C32" s="4">
        <f>ROUND(B$4*Stagionalità!$B$10,0)</f>
        <v/>
      </c>
      <c r="D32" s="17">
        <f>C32*'Conti per prodotto'!$B$10</f>
        <v/>
      </c>
      <c r="E32" s="17">
        <f>C32*'Conti per prodotto'!$I$10</f>
        <v/>
      </c>
      <c r="F32" s="17">
        <f>D32-E32</f>
        <v/>
      </c>
      <c r="G32" s="17">
        <f>C32*'Conti per prodotto'!$O$10</f>
        <v/>
      </c>
      <c r="H32" s="17">
        <f>'Costi B2Brand'!$D$10</f>
        <v/>
      </c>
      <c r="I32" s="17">
        <f>B$8</f>
        <v/>
      </c>
      <c r="J32" s="17">
        <f>E32-H32-I32</f>
        <v/>
      </c>
      <c r="K32" s="17">
        <f>K31+J32</f>
        <v/>
      </c>
      <c r="M32" s="4" t="n">
        <v>19</v>
      </c>
      <c r="N32" s="4" t="n">
        <v>2</v>
      </c>
      <c r="O32" s="4">
        <f>ROUND(C$4*Stagionalità!$B$10,0)</f>
        <v/>
      </c>
      <c r="P32" s="17">
        <f>O32*'Conti per prodotto'!$B$10</f>
        <v/>
      </c>
      <c r="Q32" s="17">
        <f>O32*'Conti per prodotto'!$I$10</f>
        <v/>
      </c>
      <c r="R32" s="17">
        <f>P32-Q32</f>
        <v/>
      </c>
      <c r="S32" s="17">
        <f>O32*'Conti per prodotto'!$O$10</f>
        <v/>
      </c>
      <c r="T32" s="17">
        <f>'Costi B2Brand'!$D$10</f>
        <v/>
      </c>
      <c r="U32" s="17">
        <f>C$8</f>
        <v/>
      </c>
      <c r="V32" s="17">
        <f>Q32-T32-U32</f>
        <v/>
      </c>
      <c r="W32" s="17">
        <f>W31+V32</f>
        <v/>
      </c>
      <c r="Y32" s="4" t="n">
        <v>19</v>
      </c>
      <c r="Z32" s="4" t="n">
        <v>2</v>
      </c>
      <c r="AA32" s="4">
        <f>ROUND(D$4*Stagionalità!$B$10,0)</f>
        <v/>
      </c>
      <c r="AB32" s="17">
        <f>AA32*'Conti per prodotto'!$B$10</f>
        <v/>
      </c>
      <c r="AC32" s="17">
        <f>AA32*'Conti per prodotto'!$I$10</f>
        <v/>
      </c>
      <c r="AD32" s="17">
        <f>AB32-AC32</f>
        <v/>
      </c>
      <c r="AE32" s="17">
        <f>AA32*'Conti per prodotto'!$O$10</f>
        <v/>
      </c>
      <c r="AF32" s="17">
        <f>'Costi B2Brand'!$D$10</f>
        <v/>
      </c>
      <c r="AG32" s="17">
        <f>D$8</f>
        <v/>
      </c>
      <c r="AH32" s="17">
        <f>AC32-AF32-AG32</f>
        <v/>
      </c>
      <c r="AI32" s="17">
        <f>AI31+AH32</f>
        <v/>
      </c>
    </row>
    <row r="33">
      <c r="A33" s="4" t="n">
        <v>20</v>
      </c>
      <c r="B33" s="4" t="n">
        <v>2</v>
      </c>
      <c r="C33" s="4">
        <f>ROUND(B$4*Stagionalità!$B$11,0)</f>
        <v/>
      </c>
      <c r="D33" s="17">
        <f>C33*'Conti per prodotto'!$B$10</f>
        <v/>
      </c>
      <c r="E33" s="17">
        <f>C33*'Conti per prodotto'!$I$10</f>
        <v/>
      </c>
      <c r="F33" s="17">
        <f>D33-E33</f>
        <v/>
      </c>
      <c r="G33" s="17">
        <f>C33*'Conti per prodotto'!$O$10</f>
        <v/>
      </c>
      <c r="H33" s="17">
        <f>'Costi B2Brand'!$D$10</f>
        <v/>
      </c>
      <c r="I33" s="17">
        <f>B$8</f>
        <v/>
      </c>
      <c r="J33" s="17">
        <f>E33-H33-I33</f>
        <v/>
      </c>
      <c r="K33" s="17">
        <f>K32+J33</f>
        <v/>
      </c>
      <c r="M33" s="4" t="n">
        <v>20</v>
      </c>
      <c r="N33" s="4" t="n">
        <v>2</v>
      </c>
      <c r="O33" s="4">
        <f>ROUND(C$4*Stagionalità!$B$11,0)</f>
        <v/>
      </c>
      <c r="P33" s="17">
        <f>O33*'Conti per prodotto'!$B$10</f>
        <v/>
      </c>
      <c r="Q33" s="17">
        <f>O33*'Conti per prodotto'!$I$10</f>
        <v/>
      </c>
      <c r="R33" s="17">
        <f>P33-Q33</f>
        <v/>
      </c>
      <c r="S33" s="17">
        <f>O33*'Conti per prodotto'!$O$10</f>
        <v/>
      </c>
      <c r="T33" s="17">
        <f>'Costi B2Brand'!$D$10</f>
        <v/>
      </c>
      <c r="U33" s="17">
        <f>C$8</f>
        <v/>
      </c>
      <c r="V33" s="17">
        <f>Q33-T33-U33</f>
        <v/>
      </c>
      <c r="W33" s="17">
        <f>W32+V33</f>
        <v/>
      </c>
      <c r="Y33" s="4" t="n">
        <v>20</v>
      </c>
      <c r="Z33" s="4" t="n">
        <v>2</v>
      </c>
      <c r="AA33" s="4">
        <f>ROUND(D$4*Stagionalità!$B$11,0)</f>
        <v/>
      </c>
      <c r="AB33" s="17">
        <f>AA33*'Conti per prodotto'!$B$10</f>
        <v/>
      </c>
      <c r="AC33" s="17">
        <f>AA33*'Conti per prodotto'!$I$10</f>
        <v/>
      </c>
      <c r="AD33" s="17">
        <f>AB33-AC33</f>
        <v/>
      </c>
      <c r="AE33" s="17">
        <f>AA33*'Conti per prodotto'!$O$10</f>
        <v/>
      </c>
      <c r="AF33" s="17">
        <f>'Costi B2Brand'!$D$10</f>
        <v/>
      </c>
      <c r="AG33" s="17">
        <f>D$8</f>
        <v/>
      </c>
      <c r="AH33" s="17">
        <f>AC33-AF33-AG33</f>
        <v/>
      </c>
      <c r="AI33" s="17">
        <f>AI32+AH33</f>
        <v/>
      </c>
    </row>
    <row r="34">
      <c r="A34" s="4" t="n">
        <v>21</v>
      </c>
      <c r="B34" s="4" t="n">
        <v>2</v>
      </c>
      <c r="C34" s="4">
        <f>ROUND(B$4*Stagionalità!$B$12,0)</f>
        <v/>
      </c>
      <c r="D34" s="17">
        <f>C34*'Conti per prodotto'!$B$10</f>
        <v/>
      </c>
      <c r="E34" s="17">
        <f>C34*'Conti per prodotto'!$I$10</f>
        <v/>
      </c>
      <c r="F34" s="17">
        <f>D34-E34</f>
        <v/>
      </c>
      <c r="G34" s="17">
        <f>C34*'Conti per prodotto'!$O$10</f>
        <v/>
      </c>
      <c r="H34" s="17">
        <f>'Costi B2Brand'!$D$10</f>
        <v/>
      </c>
      <c r="I34" s="17">
        <f>B$8</f>
        <v/>
      </c>
      <c r="J34" s="17">
        <f>E34-H34-I34</f>
        <v/>
      </c>
      <c r="K34" s="17">
        <f>K33+J34</f>
        <v/>
      </c>
      <c r="M34" s="4" t="n">
        <v>21</v>
      </c>
      <c r="N34" s="4" t="n">
        <v>2</v>
      </c>
      <c r="O34" s="4">
        <f>ROUND(C$4*Stagionalità!$B$12,0)</f>
        <v/>
      </c>
      <c r="P34" s="17">
        <f>O34*'Conti per prodotto'!$B$10</f>
        <v/>
      </c>
      <c r="Q34" s="17">
        <f>O34*'Conti per prodotto'!$I$10</f>
        <v/>
      </c>
      <c r="R34" s="17">
        <f>P34-Q34</f>
        <v/>
      </c>
      <c r="S34" s="17">
        <f>O34*'Conti per prodotto'!$O$10</f>
        <v/>
      </c>
      <c r="T34" s="17">
        <f>'Costi B2Brand'!$D$10</f>
        <v/>
      </c>
      <c r="U34" s="17">
        <f>C$8</f>
        <v/>
      </c>
      <c r="V34" s="17">
        <f>Q34-T34-U34</f>
        <v/>
      </c>
      <c r="W34" s="17">
        <f>W33+V34</f>
        <v/>
      </c>
      <c r="Y34" s="4" t="n">
        <v>21</v>
      </c>
      <c r="Z34" s="4" t="n">
        <v>2</v>
      </c>
      <c r="AA34" s="4">
        <f>ROUND(D$4*Stagionalità!$B$12,0)</f>
        <v/>
      </c>
      <c r="AB34" s="17">
        <f>AA34*'Conti per prodotto'!$B$10</f>
        <v/>
      </c>
      <c r="AC34" s="17">
        <f>AA34*'Conti per prodotto'!$I$10</f>
        <v/>
      </c>
      <c r="AD34" s="17">
        <f>AB34-AC34</f>
        <v/>
      </c>
      <c r="AE34" s="17">
        <f>AA34*'Conti per prodotto'!$O$10</f>
        <v/>
      </c>
      <c r="AF34" s="17">
        <f>'Costi B2Brand'!$D$10</f>
        <v/>
      </c>
      <c r="AG34" s="17">
        <f>D$8</f>
        <v/>
      </c>
      <c r="AH34" s="17">
        <f>AC34-AF34-AG34</f>
        <v/>
      </c>
      <c r="AI34" s="17">
        <f>AI33+AH34</f>
        <v/>
      </c>
    </row>
    <row r="35">
      <c r="A35" s="4" t="n">
        <v>22</v>
      </c>
      <c r="B35" s="4" t="n">
        <v>2</v>
      </c>
      <c r="C35" s="4">
        <f>ROUND(B$4*Stagionalità!$B$13,0)</f>
        <v/>
      </c>
      <c r="D35" s="17">
        <f>C35*'Conti per prodotto'!$B$10</f>
        <v/>
      </c>
      <c r="E35" s="17">
        <f>C35*'Conti per prodotto'!$I$10</f>
        <v/>
      </c>
      <c r="F35" s="17">
        <f>D35-E35</f>
        <v/>
      </c>
      <c r="G35" s="17">
        <f>C35*'Conti per prodotto'!$O$10</f>
        <v/>
      </c>
      <c r="H35" s="17">
        <f>'Costi B2Brand'!$D$10</f>
        <v/>
      </c>
      <c r="I35" s="17">
        <f>B$8</f>
        <v/>
      </c>
      <c r="J35" s="17">
        <f>E35-H35-I35</f>
        <v/>
      </c>
      <c r="K35" s="17">
        <f>K34+J35</f>
        <v/>
      </c>
      <c r="M35" s="4" t="n">
        <v>22</v>
      </c>
      <c r="N35" s="4" t="n">
        <v>2</v>
      </c>
      <c r="O35" s="4">
        <f>ROUND(C$4*Stagionalità!$B$13,0)</f>
        <v/>
      </c>
      <c r="P35" s="17">
        <f>O35*'Conti per prodotto'!$B$10</f>
        <v/>
      </c>
      <c r="Q35" s="17">
        <f>O35*'Conti per prodotto'!$I$10</f>
        <v/>
      </c>
      <c r="R35" s="17">
        <f>P35-Q35</f>
        <v/>
      </c>
      <c r="S35" s="17">
        <f>O35*'Conti per prodotto'!$O$10</f>
        <v/>
      </c>
      <c r="T35" s="17">
        <f>'Costi B2Brand'!$D$10</f>
        <v/>
      </c>
      <c r="U35" s="17">
        <f>C$8</f>
        <v/>
      </c>
      <c r="V35" s="17">
        <f>Q35-T35-U35</f>
        <v/>
      </c>
      <c r="W35" s="17">
        <f>W34+V35</f>
        <v/>
      </c>
      <c r="Y35" s="4" t="n">
        <v>22</v>
      </c>
      <c r="Z35" s="4" t="n">
        <v>2</v>
      </c>
      <c r="AA35" s="4">
        <f>ROUND(D$4*Stagionalità!$B$13,0)</f>
        <v/>
      </c>
      <c r="AB35" s="17">
        <f>AA35*'Conti per prodotto'!$B$10</f>
        <v/>
      </c>
      <c r="AC35" s="17">
        <f>AA35*'Conti per prodotto'!$I$10</f>
        <v/>
      </c>
      <c r="AD35" s="17">
        <f>AB35-AC35</f>
        <v/>
      </c>
      <c r="AE35" s="17">
        <f>AA35*'Conti per prodotto'!$O$10</f>
        <v/>
      </c>
      <c r="AF35" s="17">
        <f>'Costi B2Brand'!$D$10</f>
        <v/>
      </c>
      <c r="AG35" s="17">
        <f>D$8</f>
        <v/>
      </c>
      <c r="AH35" s="17">
        <f>AC35-AF35-AG35</f>
        <v/>
      </c>
      <c r="AI35" s="17">
        <f>AI34+AH35</f>
        <v/>
      </c>
    </row>
    <row r="36">
      <c r="A36" s="4" t="n">
        <v>23</v>
      </c>
      <c r="B36" s="4" t="n">
        <v>2</v>
      </c>
      <c r="C36" s="4">
        <f>ROUND(B$4*Stagionalità!$B$2,0)</f>
        <v/>
      </c>
      <c r="D36" s="17">
        <f>C36*'Conti per prodotto'!$B$10</f>
        <v/>
      </c>
      <c r="E36" s="17">
        <f>C36*'Conti per prodotto'!$I$10</f>
        <v/>
      </c>
      <c r="F36" s="17">
        <f>D36-E36</f>
        <v/>
      </c>
      <c r="G36" s="17">
        <f>C36*'Conti per prodotto'!$O$10</f>
        <v/>
      </c>
      <c r="H36" s="17">
        <f>'Costi B2Brand'!$D$10</f>
        <v/>
      </c>
      <c r="I36" s="17">
        <f>B$8</f>
        <v/>
      </c>
      <c r="J36" s="17">
        <f>E36-H36-I36</f>
        <v/>
      </c>
      <c r="K36" s="17">
        <f>K35+J36</f>
        <v/>
      </c>
      <c r="M36" s="4" t="n">
        <v>23</v>
      </c>
      <c r="N36" s="4" t="n">
        <v>2</v>
      </c>
      <c r="O36" s="4">
        <f>ROUND(C$4*Stagionalità!$B$2,0)</f>
        <v/>
      </c>
      <c r="P36" s="17">
        <f>O36*'Conti per prodotto'!$B$10</f>
        <v/>
      </c>
      <c r="Q36" s="17">
        <f>O36*'Conti per prodotto'!$I$10</f>
        <v/>
      </c>
      <c r="R36" s="17">
        <f>P36-Q36</f>
        <v/>
      </c>
      <c r="S36" s="17">
        <f>O36*'Conti per prodotto'!$O$10</f>
        <v/>
      </c>
      <c r="T36" s="17">
        <f>'Costi B2Brand'!$D$10</f>
        <v/>
      </c>
      <c r="U36" s="17">
        <f>C$8</f>
        <v/>
      </c>
      <c r="V36" s="17">
        <f>Q36-T36-U36</f>
        <v/>
      </c>
      <c r="W36" s="17">
        <f>W35+V36</f>
        <v/>
      </c>
      <c r="Y36" s="4" t="n">
        <v>23</v>
      </c>
      <c r="Z36" s="4" t="n">
        <v>2</v>
      </c>
      <c r="AA36" s="4">
        <f>ROUND(D$4*Stagionalità!$B$2,0)</f>
        <v/>
      </c>
      <c r="AB36" s="17">
        <f>AA36*'Conti per prodotto'!$B$10</f>
        <v/>
      </c>
      <c r="AC36" s="17">
        <f>AA36*'Conti per prodotto'!$I$10</f>
        <v/>
      </c>
      <c r="AD36" s="17">
        <f>AB36-AC36</f>
        <v/>
      </c>
      <c r="AE36" s="17">
        <f>AA36*'Conti per prodotto'!$O$10</f>
        <v/>
      </c>
      <c r="AF36" s="17">
        <f>'Costi B2Brand'!$D$10</f>
        <v/>
      </c>
      <c r="AG36" s="17">
        <f>D$8</f>
        <v/>
      </c>
      <c r="AH36" s="17">
        <f>AC36-AF36-AG36</f>
        <v/>
      </c>
      <c r="AI36" s="17">
        <f>AI35+AH36</f>
        <v/>
      </c>
    </row>
    <row r="37">
      <c r="A37" s="4" t="n">
        <v>24</v>
      </c>
      <c r="B37" s="4" t="n">
        <v>2</v>
      </c>
      <c r="C37" s="4">
        <f>ROUND(B$4*Stagionalità!$B$3,0)</f>
        <v/>
      </c>
      <c r="D37" s="17">
        <f>C37*'Conti per prodotto'!$B$10</f>
        <v/>
      </c>
      <c r="E37" s="17">
        <f>C37*'Conti per prodotto'!$I$10</f>
        <v/>
      </c>
      <c r="F37" s="17">
        <f>D37-E37</f>
        <v/>
      </c>
      <c r="G37" s="17">
        <f>C37*'Conti per prodotto'!$O$10</f>
        <v/>
      </c>
      <c r="H37" s="17">
        <f>'Costi B2Brand'!$D$10</f>
        <v/>
      </c>
      <c r="I37" s="17">
        <f>B$8</f>
        <v/>
      </c>
      <c r="J37" s="17">
        <f>E37-H37-I37</f>
        <v/>
      </c>
      <c r="K37" s="17">
        <f>K36+J37</f>
        <v/>
      </c>
      <c r="M37" s="4" t="n">
        <v>24</v>
      </c>
      <c r="N37" s="4" t="n">
        <v>2</v>
      </c>
      <c r="O37" s="4">
        <f>ROUND(C$4*Stagionalità!$B$3,0)</f>
        <v/>
      </c>
      <c r="P37" s="17">
        <f>O37*'Conti per prodotto'!$B$10</f>
        <v/>
      </c>
      <c r="Q37" s="17">
        <f>O37*'Conti per prodotto'!$I$10</f>
        <v/>
      </c>
      <c r="R37" s="17">
        <f>P37-Q37</f>
        <v/>
      </c>
      <c r="S37" s="17">
        <f>O37*'Conti per prodotto'!$O$10</f>
        <v/>
      </c>
      <c r="T37" s="17">
        <f>'Costi B2Brand'!$D$10</f>
        <v/>
      </c>
      <c r="U37" s="17">
        <f>C$8</f>
        <v/>
      </c>
      <c r="V37" s="17">
        <f>Q37-T37-U37</f>
        <v/>
      </c>
      <c r="W37" s="17">
        <f>W36+V37</f>
        <v/>
      </c>
      <c r="Y37" s="4" t="n">
        <v>24</v>
      </c>
      <c r="Z37" s="4" t="n">
        <v>2</v>
      </c>
      <c r="AA37" s="4">
        <f>ROUND(D$4*Stagionalità!$B$3,0)</f>
        <v/>
      </c>
      <c r="AB37" s="17">
        <f>AA37*'Conti per prodotto'!$B$10</f>
        <v/>
      </c>
      <c r="AC37" s="17">
        <f>AA37*'Conti per prodotto'!$I$10</f>
        <v/>
      </c>
      <c r="AD37" s="17">
        <f>AB37-AC37</f>
        <v/>
      </c>
      <c r="AE37" s="17">
        <f>AA37*'Conti per prodotto'!$O$10</f>
        <v/>
      </c>
      <c r="AF37" s="17">
        <f>'Costi B2Brand'!$D$10</f>
        <v/>
      </c>
      <c r="AG37" s="17">
        <f>D$8</f>
        <v/>
      </c>
      <c r="AH37" s="17">
        <f>AC37-AF37-AG37</f>
        <v/>
      </c>
      <c r="AI37" s="17">
        <f>AI36+AH37</f>
        <v/>
      </c>
    </row>
    <row r="38">
      <c r="A38" s="4" t="n">
        <v>25</v>
      </c>
      <c r="B38" s="4" t="n">
        <v>3</v>
      </c>
      <c r="C38" s="4">
        <f>ROUND(B$5*Stagionalità!$B$4,0)</f>
        <v/>
      </c>
      <c r="D38" s="17">
        <f>C38*'Conti per prodotto'!$B$10</f>
        <v/>
      </c>
      <c r="E38" s="17">
        <f>C38*'Conti per prodotto'!$I$10</f>
        <v/>
      </c>
      <c r="F38" s="17">
        <f>D38-E38</f>
        <v/>
      </c>
      <c r="G38" s="17">
        <f>C38*'Conti per prodotto'!$O$10</f>
        <v/>
      </c>
      <c r="H38" s="17">
        <f>'Costi B2Brand'!$E$10</f>
        <v/>
      </c>
      <c r="I38" s="17">
        <f>B$9</f>
        <v/>
      </c>
      <c r="J38" s="17">
        <f>E38-H38-I38</f>
        <v/>
      </c>
      <c r="K38" s="17">
        <f>K37+J38</f>
        <v/>
      </c>
      <c r="M38" s="4" t="n">
        <v>25</v>
      </c>
      <c r="N38" s="4" t="n">
        <v>3</v>
      </c>
      <c r="O38" s="4">
        <f>ROUND(C$5*Stagionalità!$B$4,0)</f>
        <v/>
      </c>
      <c r="P38" s="17">
        <f>O38*'Conti per prodotto'!$B$10</f>
        <v/>
      </c>
      <c r="Q38" s="17">
        <f>O38*'Conti per prodotto'!$I$10</f>
        <v/>
      </c>
      <c r="R38" s="17">
        <f>P38-Q38</f>
        <v/>
      </c>
      <c r="S38" s="17">
        <f>O38*'Conti per prodotto'!$O$10</f>
        <v/>
      </c>
      <c r="T38" s="17">
        <f>'Costi B2Brand'!$E$10</f>
        <v/>
      </c>
      <c r="U38" s="17">
        <f>C$9</f>
        <v/>
      </c>
      <c r="V38" s="17">
        <f>Q38-T38-U38</f>
        <v/>
      </c>
      <c r="W38" s="17">
        <f>W37+V38</f>
        <v/>
      </c>
      <c r="Y38" s="4" t="n">
        <v>25</v>
      </c>
      <c r="Z38" s="4" t="n">
        <v>3</v>
      </c>
      <c r="AA38" s="4">
        <f>ROUND(D$5*Stagionalità!$B$4,0)</f>
        <v/>
      </c>
      <c r="AB38" s="17">
        <f>AA38*'Conti per prodotto'!$B$10</f>
        <v/>
      </c>
      <c r="AC38" s="17">
        <f>AA38*'Conti per prodotto'!$I$10</f>
        <v/>
      </c>
      <c r="AD38" s="17">
        <f>AB38-AC38</f>
        <v/>
      </c>
      <c r="AE38" s="17">
        <f>AA38*'Conti per prodotto'!$O$10</f>
        <v/>
      </c>
      <c r="AF38" s="17">
        <f>'Costi B2Brand'!$E$10</f>
        <v/>
      </c>
      <c r="AG38" s="17">
        <f>D$9</f>
        <v/>
      </c>
      <c r="AH38" s="17">
        <f>AC38-AF38-AG38</f>
        <v/>
      </c>
      <c r="AI38" s="17">
        <f>AI37+AH38</f>
        <v/>
      </c>
    </row>
    <row r="39">
      <c r="A39" s="4" t="n">
        <v>26</v>
      </c>
      <c r="B39" s="4" t="n">
        <v>3</v>
      </c>
      <c r="C39" s="4">
        <f>ROUND(B$5*Stagionalità!$B$5,0)</f>
        <v/>
      </c>
      <c r="D39" s="17">
        <f>C39*'Conti per prodotto'!$B$10</f>
        <v/>
      </c>
      <c r="E39" s="17">
        <f>C39*'Conti per prodotto'!$I$10</f>
        <v/>
      </c>
      <c r="F39" s="17">
        <f>D39-E39</f>
        <v/>
      </c>
      <c r="G39" s="17">
        <f>C39*'Conti per prodotto'!$O$10</f>
        <v/>
      </c>
      <c r="H39" s="17">
        <f>'Costi B2Brand'!$E$10</f>
        <v/>
      </c>
      <c r="I39" s="17">
        <f>B$9</f>
        <v/>
      </c>
      <c r="J39" s="17">
        <f>E39-H39-I39</f>
        <v/>
      </c>
      <c r="K39" s="17">
        <f>K38+J39</f>
        <v/>
      </c>
      <c r="M39" s="4" t="n">
        <v>26</v>
      </c>
      <c r="N39" s="4" t="n">
        <v>3</v>
      </c>
      <c r="O39" s="4">
        <f>ROUND(C$5*Stagionalità!$B$5,0)</f>
        <v/>
      </c>
      <c r="P39" s="17">
        <f>O39*'Conti per prodotto'!$B$10</f>
        <v/>
      </c>
      <c r="Q39" s="17">
        <f>O39*'Conti per prodotto'!$I$10</f>
        <v/>
      </c>
      <c r="R39" s="17">
        <f>P39-Q39</f>
        <v/>
      </c>
      <c r="S39" s="17">
        <f>O39*'Conti per prodotto'!$O$10</f>
        <v/>
      </c>
      <c r="T39" s="17">
        <f>'Costi B2Brand'!$E$10</f>
        <v/>
      </c>
      <c r="U39" s="17">
        <f>C$9</f>
        <v/>
      </c>
      <c r="V39" s="17">
        <f>Q39-T39-U39</f>
        <v/>
      </c>
      <c r="W39" s="17">
        <f>W38+V39</f>
        <v/>
      </c>
      <c r="Y39" s="4" t="n">
        <v>26</v>
      </c>
      <c r="Z39" s="4" t="n">
        <v>3</v>
      </c>
      <c r="AA39" s="4">
        <f>ROUND(D$5*Stagionalità!$B$5,0)</f>
        <v/>
      </c>
      <c r="AB39" s="17">
        <f>AA39*'Conti per prodotto'!$B$10</f>
        <v/>
      </c>
      <c r="AC39" s="17">
        <f>AA39*'Conti per prodotto'!$I$10</f>
        <v/>
      </c>
      <c r="AD39" s="17">
        <f>AB39-AC39</f>
        <v/>
      </c>
      <c r="AE39" s="17">
        <f>AA39*'Conti per prodotto'!$O$10</f>
        <v/>
      </c>
      <c r="AF39" s="17">
        <f>'Costi B2Brand'!$E$10</f>
        <v/>
      </c>
      <c r="AG39" s="17">
        <f>D$9</f>
        <v/>
      </c>
      <c r="AH39" s="17">
        <f>AC39-AF39-AG39</f>
        <v/>
      </c>
      <c r="AI39" s="17">
        <f>AI38+AH39</f>
        <v/>
      </c>
    </row>
    <row r="40">
      <c r="A40" s="4" t="n">
        <v>27</v>
      </c>
      <c r="B40" s="4" t="n">
        <v>3</v>
      </c>
      <c r="C40" s="4">
        <f>ROUND(B$5*Stagionalità!$B$6,0)</f>
        <v/>
      </c>
      <c r="D40" s="17">
        <f>C40*'Conti per prodotto'!$B$10</f>
        <v/>
      </c>
      <c r="E40" s="17">
        <f>C40*'Conti per prodotto'!$I$10</f>
        <v/>
      </c>
      <c r="F40" s="17">
        <f>D40-E40</f>
        <v/>
      </c>
      <c r="G40" s="17">
        <f>C40*'Conti per prodotto'!$O$10</f>
        <v/>
      </c>
      <c r="H40" s="17">
        <f>'Costi B2Brand'!$E$10</f>
        <v/>
      </c>
      <c r="I40" s="17">
        <f>B$9</f>
        <v/>
      </c>
      <c r="J40" s="17">
        <f>E40-H40-I40</f>
        <v/>
      </c>
      <c r="K40" s="17">
        <f>K39+J40</f>
        <v/>
      </c>
      <c r="M40" s="4" t="n">
        <v>27</v>
      </c>
      <c r="N40" s="4" t="n">
        <v>3</v>
      </c>
      <c r="O40" s="4">
        <f>ROUND(C$5*Stagionalità!$B$6,0)</f>
        <v/>
      </c>
      <c r="P40" s="17">
        <f>O40*'Conti per prodotto'!$B$10</f>
        <v/>
      </c>
      <c r="Q40" s="17">
        <f>O40*'Conti per prodotto'!$I$10</f>
        <v/>
      </c>
      <c r="R40" s="17">
        <f>P40-Q40</f>
        <v/>
      </c>
      <c r="S40" s="17">
        <f>O40*'Conti per prodotto'!$O$10</f>
        <v/>
      </c>
      <c r="T40" s="17">
        <f>'Costi B2Brand'!$E$10</f>
        <v/>
      </c>
      <c r="U40" s="17">
        <f>C$9</f>
        <v/>
      </c>
      <c r="V40" s="17">
        <f>Q40-T40-U40</f>
        <v/>
      </c>
      <c r="W40" s="17">
        <f>W39+V40</f>
        <v/>
      </c>
      <c r="Y40" s="4" t="n">
        <v>27</v>
      </c>
      <c r="Z40" s="4" t="n">
        <v>3</v>
      </c>
      <c r="AA40" s="4">
        <f>ROUND(D$5*Stagionalità!$B$6,0)</f>
        <v/>
      </c>
      <c r="AB40" s="17">
        <f>AA40*'Conti per prodotto'!$B$10</f>
        <v/>
      </c>
      <c r="AC40" s="17">
        <f>AA40*'Conti per prodotto'!$I$10</f>
        <v/>
      </c>
      <c r="AD40" s="17">
        <f>AB40-AC40</f>
        <v/>
      </c>
      <c r="AE40" s="17">
        <f>AA40*'Conti per prodotto'!$O$10</f>
        <v/>
      </c>
      <c r="AF40" s="17">
        <f>'Costi B2Brand'!$E$10</f>
        <v/>
      </c>
      <c r="AG40" s="17">
        <f>D$9</f>
        <v/>
      </c>
      <c r="AH40" s="17">
        <f>AC40-AF40-AG40</f>
        <v/>
      </c>
      <c r="AI40" s="17">
        <f>AI39+AH40</f>
        <v/>
      </c>
    </row>
    <row r="41">
      <c r="A41" s="4" t="n">
        <v>28</v>
      </c>
      <c r="B41" s="4" t="n">
        <v>3</v>
      </c>
      <c r="C41" s="4">
        <f>ROUND(B$5*Stagionalità!$B$7,0)</f>
        <v/>
      </c>
      <c r="D41" s="17">
        <f>C41*'Conti per prodotto'!$B$10</f>
        <v/>
      </c>
      <c r="E41" s="17">
        <f>C41*'Conti per prodotto'!$I$10</f>
        <v/>
      </c>
      <c r="F41" s="17">
        <f>D41-E41</f>
        <v/>
      </c>
      <c r="G41" s="17">
        <f>C41*'Conti per prodotto'!$O$10</f>
        <v/>
      </c>
      <c r="H41" s="17">
        <f>'Costi B2Brand'!$E$10</f>
        <v/>
      </c>
      <c r="I41" s="17">
        <f>B$9</f>
        <v/>
      </c>
      <c r="J41" s="17">
        <f>E41-H41-I41</f>
        <v/>
      </c>
      <c r="K41" s="17">
        <f>K40+J41</f>
        <v/>
      </c>
      <c r="M41" s="4" t="n">
        <v>28</v>
      </c>
      <c r="N41" s="4" t="n">
        <v>3</v>
      </c>
      <c r="O41" s="4">
        <f>ROUND(C$5*Stagionalità!$B$7,0)</f>
        <v/>
      </c>
      <c r="P41" s="17">
        <f>O41*'Conti per prodotto'!$B$10</f>
        <v/>
      </c>
      <c r="Q41" s="17">
        <f>O41*'Conti per prodotto'!$I$10</f>
        <v/>
      </c>
      <c r="R41" s="17">
        <f>P41-Q41</f>
        <v/>
      </c>
      <c r="S41" s="17">
        <f>O41*'Conti per prodotto'!$O$10</f>
        <v/>
      </c>
      <c r="T41" s="17">
        <f>'Costi B2Brand'!$E$10</f>
        <v/>
      </c>
      <c r="U41" s="17">
        <f>C$9</f>
        <v/>
      </c>
      <c r="V41" s="17">
        <f>Q41-T41-U41</f>
        <v/>
      </c>
      <c r="W41" s="17">
        <f>W40+V41</f>
        <v/>
      </c>
      <c r="Y41" s="4" t="n">
        <v>28</v>
      </c>
      <c r="Z41" s="4" t="n">
        <v>3</v>
      </c>
      <c r="AA41" s="4">
        <f>ROUND(D$5*Stagionalità!$B$7,0)</f>
        <v/>
      </c>
      <c r="AB41" s="17">
        <f>AA41*'Conti per prodotto'!$B$10</f>
        <v/>
      </c>
      <c r="AC41" s="17">
        <f>AA41*'Conti per prodotto'!$I$10</f>
        <v/>
      </c>
      <c r="AD41" s="17">
        <f>AB41-AC41</f>
        <v/>
      </c>
      <c r="AE41" s="17">
        <f>AA41*'Conti per prodotto'!$O$10</f>
        <v/>
      </c>
      <c r="AF41" s="17">
        <f>'Costi B2Brand'!$E$10</f>
        <v/>
      </c>
      <c r="AG41" s="17">
        <f>D$9</f>
        <v/>
      </c>
      <c r="AH41" s="17">
        <f>AC41-AF41-AG41</f>
        <v/>
      </c>
      <c r="AI41" s="17">
        <f>AI40+AH41</f>
        <v/>
      </c>
    </row>
    <row r="42">
      <c r="A42" s="4" t="n">
        <v>29</v>
      </c>
      <c r="B42" s="4" t="n">
        <v>3</v>
      </c>
      <c r="C42" s="4">
        <f>ROUND(B$5*Stagionalità!$B$8,0)</f>
        <v/>
      </c>
      <c r="D42" s="17">
        <f>C42*'Conti per prodotto'!$B$10</f>
        <v/>
      </c>
      <c r="E42" s="17">
        <f>C42*'Conti per prodotto'!$I$10</f>
        <v/>
      </c>
      <c r="F42" s="17">
        <f>D42-E42</f>
        <v/>
      </c>
      <c r="G42" s="17">
        <f>C42*'Conti per prodotto'!$O$10</f>
        <v/>
      </c>
      <c r="H42" s="17">
        <f>'Costi B2Brand'!$E$10</f>
        <v/>
      </c>
      <c r="I42" s="17">
        <f>B$9</f>
        <v/>
      </c>
      <c r="J42" s="17">
        <f>E42-H42-I42</f>
        <v/>
      </c>
      <c r="K42" s="17">
        <f>K41+J42</f>
        <v/>
      </c>
      <c r="M42" s="4" t="n">
        <v>29</v>
      </c>
      <c r="N42" s="4" t="n">
        <v>3</v>
      </c>
      <c r="O42" s="4">
        <f>ROUND(C$5*Stagionalità!$B$8,0)</f>
        <v/>
      </c>
      <c r="P42" s="17">
        <f>O42*'Conti per prodotto'!$B$10</f>
        <v/>
      </c>
      <c r="Q42" s="17">
        <f>O42*'Conti per prodotto'!$I$10</f>
        <v/>
      </c>
      <c r="R42" s="17">
        <f>P42-Q42</f>
        <v/>
      </c>
      <c r="S42" s="17">
        <f>O42*'Conti per prodotto'!$O$10</f>
        <v/>
      </c>
      <c r="T42" s="17">
        <f>'Costi B2Brand'!$E$10</f>
        <v/>
      </c>
      <c r="U42" s="17">
        <f>C$9</f>
        <v/>
      </c>
      <c r="V42" s="17">
        <f>Q42-T42-U42</f>
        <v/>
      </c>
      <c r="W42" s="17">
        <f>W41+V42</f>
        <v/>
      </c>
      <c r="Y42" s="4" t="n">
        <v>29</v>
      </c>
      <c r="Z42" s="4" t="n">
        <v>3</v>
      </c>
      <c r="AA42" s="4">
        <f>ROUND(D$5*Stagionalità!$B$8,0)</f>
        <v/>
      </c>
      <c r="AB42" s="17">
        <f>AA42*'Conti per prodotto'!$B$10</f>
        <v/>
      </c>
      <c r="AC42" s="17">
        <f>AA42*'Conti per prodotto'!$I$10</f>
        <v/>
      </c>
      <c r="AD42" s="17">
        <f>AB42-AC42</f>
        <v/>
      </c>
      <c r="AE42" s="17">
        <f>AA42*'Conti per prodotto'!$O$10</f>
        <v/>
      </c>
      <c r="AF42" s="17">
        <f>'Costi B2Brand'!$E$10</f>
        <v/>
      </c>
      <c r="AG42" s="17">
        <f>D$9</f>
        <v/>
      </c>
      <c r="AH42" s="17">
        <f>AC42-AF42-AG42</f>
        <v/>
      </c>
      <c r="AI42" s="17">
        <f>AI41+AH42</f>
        <v/>
      </c>
    </row>
    <row r="43">
      <c r="A43" s="4" t="n">
        <v>30</v>
      </c>
      <c r="B43" s="4" t="n">
        <v>3</v>
      </c>
      <c r="C43" s="4">
        <f>ROUND(B$5*Stagionalità!$B$9,0)</f>
        <v/>
      </c>
      <c r="D43" s="17">
        <f>C43*'Conti per prodotto'!$B$10</f>
        <v/>
      </c>
      <c r="E43" s="17">
        <f>C43*'Conti per prodotto'!$I$10</f>
        <v/>
      </c>
      <c r="F43" s="17">
        <f>D43-E43</f>
        <v/>
      </c>
      <c r="G43" s="17">
        <f>C43*'Conti per prodotto'!$O$10</f>
        <v/>
      </c>
      <c r="H43" s="17">
        <f>'Costi B2Brand'!$E$10</f>
        <v/>
      </c>
      <c r="I43" s="17">
        <f>B$9</f>
        <v/>
      </c>
      <c r="J43" s="17">
        <f>E43-H43-I43</f>
        <v/>
      </c>
      <c r="K43" s="17">
        <f>K42+J43</f>
        <v/>
      </c>
      <c r="M43" s="4" t="n">
        <v>30</v>
      </c>
      <c r="N43" s="4" t="n">
        <v>3</v>
      </c>
      <c r="O43" s="4">
        <f>ROUND(C$5*Stagionalità!$B$9,0)</f>
        <v/>
      </c>
      <c r="P43" s="17">
        <f>O43*'Conti per prodotto'!$B$10</f>
        <v/>
      </c>
      <c r="Q43" s="17">
        <f>O43*'Conti per prodotto'!$I$10</f>
        <v/>
      </c>
      <c r="R43" s="17">
        <f>P43-Q43</f>
        <v/>
      </c>
      <c r="S43" s="17">
        <f>O43*'Conti per prodotto'!$O$10</f>
        <v/>
      </c>
      <c r="T43" s="17">
        <f>'Costi B2Brand'!$E$10</f>
        <v/>
      </c>
      <c r="U43" s="17">
        <f>C$9</f>
        <v/>
      </c>
      <c r="V43" s="17">
        <f>Q43-T43-U43</f>
        <v/>
      </c>
      <c r="W43" s="17">
        <f>W42+V43</f>
        <v/>
      </c>
      <c r="Y43" s="4" t="n">
        <v>30</v>
      </c>
      <c r="Z43" s="4" t="n">
        <v>3</v>
      </c>
      <c r="AA43" s="4">
        <f>ROUND(D$5*Stagionalità!$B$9,0)</f>
        <v/>
      </c>
      <c r="AB43" s="17">
        <f>AA43*'Conti per prodotto'!$B$10</f>
        <v/>
      </c>
      <c r="AC43" s="17">
        <f>AA43*'Conti per prodotto'!$I$10</f>
        <v/>
      </c>
      <c r="AD43" s="17">
        <f>AB43-AC43</f>
        <v/>
      </c>
      <c r="AE43" s="17">
        <f>AA43*'Conti per prodotto'!$O$10</f>
        <v/>
      </c>
      <c r="AF43" s="17">
        <f>'Costi B2Brand'!$E$10</f>
        <v/>
      </c>
      <c r="AG43" s="17">
        <f>D$9</f>
        <v/>
      </c>
      <c r="AH43" s="17">
        <f>AC43-AF43-AG43</f>
        <v/>
      </c>
      <c r="AI43" s="17">
        <f>AI42+AH43</f>
        <v/>
      </c>
    </row>
    <row r="44">
      <c r="A44" s="4" t="n">
        <v>31</v>
      </c>
      <c r="B44" s="4" t="n">
        <v>3</v>
      </c>
      <c r="C44" s="4">
        <f>ROUND(B$5*Stagionalità!$B$10,0)</f>
        <v/>
      </c>
      <c r="D44" s="17">
        <f>C44*'Conti per prodotto'!$B$10</f>
        <v/>
      </c>
      <c r="E44" s="17">
        <f>C44*'Conti per prodotto'!$I$10</f>
        <v/>
      </c>
      <c r="F44" s="17">
        <f>D44-E44</f>
        <v/>
      </c>
      <c r="G44" s="17">
        <f>C44*'Conti per prodotto'!$O$10</f>
        <v/>
      </c>
      <c r="H44" s="17">
        <f>'Costi B2Brand'!$E$10</f>
        <v/>
      </c>
      <c r="I44" s="17">
        <f>B$9</f>
        <v/>
      </c>
      <c r="J44" s="17">
        <f>E44-H44-I44</f>
        <v/>
      </c>
      <c r="K44" s="17">
        <f>K43+J44</f>
        <v/>
      </c>
      <c r="M44" s="4" t="n">
        <v>31</v>
      </c>
      <c r="N44" s="4" t="n">
        <v>3</v>
      </c>
      <c r="O44" s="4">
        <f>ROUND(C$5*Stagionalità!$B$10,0)</f>
        <v/>
      </c>
      <c r="P44" s="17">
        <f>O44*'Conti per prodotto'!$B$10</f>
        <v/>
      </c>
      <c r="Q44" s="17">
        <f>O44*'Conti per prodotto'!$I$10</f>
        <v/>
      </c>
      <c r="R44" s="17">
        <f>P44-Q44</f>
        <v/>
      </c>
      <c r="S44" s="17">
        <f>O44*'Conti per prodotto'!$O$10</f>
        <v/>
      </c>
      <c r="T44" s="17">
        <f>'Costi B2Brand'!$E$10</f>
        <v/>
      </c>
      <c r="U44" s="17">
        <f>C$9</f>
        <v/>
      </c>
      <c r="V44" s="17">
        <f>Q44-T44-U44</f>
        <v/>
      </c>
      <c r="W44" s="17">
        <f>W43+V44</f>
        <v/>
      </c>
      <c r="Y44" s="4" t="n">
        <v>31</v>
      </c>
      <c r="Z44" s="4" t="n">
        <v>3</v>
      </c>
      <c r="AA44" s="4">
        <f>ROUND(D$5*Stagionalità!$B$10,0)</f>
        <v/>
      </c>
      <c r="AB44" s="17">
        <f>AA44*'Conti per prodotto'!$B$10</f>
        <v/>
      </c>
      <c r="AC44" s="17">
        <f>AA44*'Conti per prodotto'!$I$10</f>
        <v/>
      </c>
      <c r="AD44" s="17">
        <f>AB44-AC44</f>
        <v/>
      </c>
      <c r="AE44" s="17">
        <f>AA44*'Conti per prodotto'!$O$10</f>
        <v/>
      </c>
      <c r="AF44" s="17">
        <f>'Costi B2Brand'!$E$10</f>
        <v/>
      </c>
      <c r="AG44" s="17">
        <f>D$9</f>
        <v/>
      </c>
      <c r="AH44" s="17">
        <f>AC44-AF44-AG44</f>
        <v/>
      </c>
      <c r="AI44" s="17">
        <f>AI43+AH44</f>
        <v/>
      </c>
    </row>
    <row r="45">
      <c r="A45" s="4" t="n">
        <v>32</v>
      </c>
      <c r="B45" s="4" t="n">
        <v>3</v>
      </c>
      <c r="C45" s="4">
        <f>ROUND(B$5*Stagionalità!$B$11,0)</f>
        <v/>
      </c>
      <c r="D45" s="17">
        <f>C45*'Conti per prodotto'!$B$10</f>
        <v/>
      </c>
      <c r="E45" s="17">
        <f>C45*'Conti per prodotto'!$I$10</f>
        <v/>
      </c>
      <c r="F45" s="17">
        <f>D45-E45</f>
        <v/>
      </c>
      <c r="G45" s="17">
        <f>C45*'Conti per prodotto'!$O$10</f>
        <v/>
      </c>
      <c r="H45" s="17">
        <f>'Costi B2Brand'!$E$10</f>
        <v/>
      </c>
      <c r="I45" s="17">
        <f>B$9</f>
        <v/>
      </c>
      <c r="J45" s="17">
        <f>E45-H45-I45</f>
        <v/>
      </c>
      <c r="K45" s="17">
        <f>K44+J45</f>
        <v/>
      </c>
      <c r="M45" s="4" t="n">
        <v>32</v>
      </c>
      <c r="N45" s="4" t="n">
        <v>3</v>
      </c>
      <c r="O45" s="4">
        <f>ROUND(C$5*Stagionalità!$B$11,0)</f>
        <v/>
      </c>
      <c r="P45" s="17">
        <f>O45*'Conti per prodotto'!$B$10</f>
        <v/>
      </c>
      <c r="Q45" s="17">
        <f>O45*'Conti per prodotto'!$I$10</f>
        <v/>
      </c>
      <c r="R45" s="17">
        <f>P45-Q45</f>
        <v/>
      </c>
      <c r="S45" s="17">
        <f>O45*'Conti per prodotto'!$O$10</f>
        <v/>
      </c>
      <c r="T45" s="17">
        <f>'Costi B2Brand'!$E$10</f>
        <v/>
      </c>
      <c r="U45" s="17">
        <f>C$9</f>
        <v/>
      </c>
      <c r="V45" s="17">
        <f>Q45-T45-U45</f>
        <v/>
      </c>
      <c r="W45" s="17">
        <f>W44+V45</f>
        <v/>
      </c>
      <c r="Y45" s="4" t="n">
        <v>32</v>
      </c>
      <c r="Z45" s="4" t="n">
        <v>3</v>
      </c>
      <c r="AA45" s="4">
        <f>ROUND(D$5*Stagionalità!$B$11,0)</f>
        <v/>
      </c>
      <c r="AB45" s="17">
        <f>AA45*'Conti per prodotto'!$B$10</f>
        <v/>
      </c>
      <c r="AC45" s="17">
        <f>AA45*'Conti per prodotto'!$I$10</f>
        <v/>
      </c>
      <c r="AD45" s="17">
        <f>AB45-AC45</f>
        <v/>
      </c>
      <c r="AE45" s="17">
        <f>AA45*'Conti per prodotto'!$O$10</f>
        <v/>
      </c>
      <c r="AF45" s="17">
        <f>'Costi B2Brand'!$E$10</f>
        <v/>
      </c>
      <c r="AG45" s="17">
        <f>D$9</f>
        <v/>
      </c>
      <c r="AH45" s="17">
        <f>AC45-AF45-AG45</f>
        <v/>
      </c>
      <c r="AI45" s="17">
        <f>AI44+AH45</f>
        <v/>
      </c>
    </row>
    <row r="46">
      <c r="A46" s="4" t="n">
        <v>33</v>
      </c>
      <c r="B46" s="4" t="n">
        <v>3</v>
      </c>
      <c r="C46" s="4">
        <f>ROUND(B$5*Stagionalità!$B$12,0)</f>
        <v/>
      </c>
      <c r="D46" s="17">
        <f>C46*'Conti per prodotto'!$B$10</f>
        <v/>
      </c>
      <c r="E46" s="17">
        <f>C46*'Conti per prodotto'!$I$10</f>
        <v/>
      </c>
      <c r="F46" s="17">
        <f>D46-E46</f>
        <v/>
      </c>
      <c r="G46" s="17">
        <f>C46*'Conti per prodotto'!$O$10</f>
        <v/>
      </c>
      <c r="H46" s="17">
        <f>'Costi B2Brand'!$E$10</f>
        <v/>
      </c>
      <c r="I46" s="17">
        <f>B$9</f>
        <v/>
      </c>
      <c r="J46" s="17">
        <f>E46-H46-I46</f>
        <v/>
      </c>
      <c r="K46" s="17">
        <f>K45+J46</f>
        <v/>
      </c>
      <c r="M46" s="4" t="n">
        <v>33</v>
      </c>
      <c r="N46" s="4" t="n">
        <v>3</v>
      </c>
      <c r="O46" s="4">
        <f>ROUND(C$5*Stagionalità!$B$12,0)</f>
        <v/>
      </c>
      <c r="P46" s="17">
        <f>O46*'Conti per prodotto'!$B$10</f>
        <v/>
      </c>
      <c r="Q46" s="17">
        <f>O46*'Conti per prodotto'!$I$10</f>
        <v/>
      </c>
      <c r="R46" s="17">
        <f>P46-Q46</f>
        <v/>
      </c>
      <c r="S46" s="17">
        <f>O46*'Conti per prodotto'!$O$10</f>
        <v/>
      </c>
      <c r="T46" s="17">
        <f>'Costi B2Brand'!$E$10</f>
        <v/>
      </c>
      <c r="U46" s="17">
        <f>C$9</f>
        <v/>
      </c>
      <c r="V46" s="17">
        <f>Q46-T46-U46</f>
        <v/>
      </c>
      <c r="W46" s="17">
        <f>W45+V46</f>
        <v/>
      </c>
      <c r="Y46" s="4" t="n">
        <v>33</v>
      </c>
      <c r="Z46" s="4" t="n">
        <v>3</v>
      </c>
      <c r="AA46" s="4">
        <f>ROUND(D$5*Stagionalità!$B$12,0)</f>
        <v/>
      </c>
      <c r="AB46" s="17">
        <f>AA46*'Conti per prodotto'!$B$10</f>
        <v/>
      </c>
      <c r="AC46" s="17">
        <f>AA46*'Conti per prodotto'!$I$10</f>
        <v/>
      </c>
      <c r="AD46" s="17">
        <f>AB46-AC46</f>
        <v/>
      </c>
      <c r="AE46" s="17">
        <f>AA46*'Conti per prodotto'!$O$10</f>
        <v/>
      </c>
      <c r="AF46" s="17">
        <f>'Costi B2Brand'!$E$10</f>
        <v/>
      </c>
      <c r="AG46" s="17">
        <f>D$9</f>
        <v/>
      </c>
      <c r="AH46" s="17">
        <f>AC46-AF46-AG46</f>
        <v/>
      </c>
      <c r="AI46" s="17">
        <f>AI45+AH46</f>
        <v/>
      </c>
    </row>
    <row r="47">
      <c r="A47" s="4" t="n">
        <v>34</v>
      </c>
      <c r="B47" s="4" t="n">
        <v>3</v>
      </c>
      <c r="C47" s="4">
        <f>ROUND(B$5*Stagionalità!$B$13,0)</f>
        <v/>
      </c>
      <c r="D47" s="17">
        <f>C47*'Conti per prodotto'!$B$10</f>
        <v/>
      </c>
      <c r="E47" s="17">
        <f>C47*'Conti per prodotto'!$I$10</f>
        <v/>
      </c>
      <c r="F47" s="17">
        <f>D47-E47</f>
        <v/>
      </c>
      <c r="G47" s="17">
        <f>C47*'Conti per prodotto'!$O$10</f>
        <v/>
      </c>
      <c r="H47" s="17">
        <f>'Costi B2Brand'!$E$10</f>
        <v/>
      </c>
      <c r="I47" s="17">
        <f>B$9</f>
        <v/>
      </c>
      <c r="J47" s="17">
        <f>E47-H47-I47</f>
        <v/>
      </c>
      <c r="K47" s="17">
        <f>K46+J47</f>
        <v/>
      </c>
      <c r="M47" s="4" t="n">
        <v>34</v>
      </c>
      <c r="N47" s="4" t="n">
        <v>3</v>
      </c>
      <c r="O47" s="4">
        <f>ROUND(C$5*Stagionalità!$B$13,0)</f>
        <v/>
      </c>
      <c r="P47" s="17">
        <f>O47*'Conti per prodotto'!$B$10</f>
        <v/>
      </c>
      <c r="Q47" s="17">
        <f>O47*'Conti per prodotto'!$I$10</f>
        <v/>
      </c>
      <c r="R47" s="17">
        <f>P47-Q47</f>
        <v/>
      </c>
      <c r="S47" s="17">
        <f>O47*'Conti per prodotto'!$O$10</f>
        <v/>
      </c>
      <c r="T47" s="17">
        <f>'Costi B2Brand'!$E$10</f>
        <v/>
      </c>
      <c r="U47" s="17">
        <f>C$9</f>
        <v/>
      </c>
      <c r="V47" s="17">
        <f>Q47-T47-U47</f>
        <v/>
      </c>
      <c r="W47" s="17">
        <f>W46+V47</f>
        <v/>
      </c>
      <c r="Y47" s="4" t="n">
        <v>34</v>
      </c>
      <c r="Z47" s="4" t="n">
        <v>3</v>
      </c>
      <c r="AA47" s="4">
        <f>ROUND(D$5*Stagionalità!$B$13,0)</f>
        <v/>
      </c>
      <c r="AB47" s="17">
        <f>AA47*'Conti per prodotto'!$B$10</f>
        <v/>
      </c>
      <c r="AC47" s="17">
        <f>AA47*'Conti per prodotto'!$I$10</f>
        <v/>
      </c>
      <c r="AD47" s="17">
        <f>AB47-AC47</f>
        <v/>
      </c>
      <c r="AE47" s="17">
        <f>AA47*'Conti per prodotto'!$O$10</f>
        <v/>
      </c>
      <c r="AF47" s="17">
        <f>'Costi B2Brand'!$E$10</f>
        <v/>
      </c>
      <c r="AG47" s="17">
        <f>D$9</f>
        <v/>
      </c>
      <c r="AH47" s="17">
        <f>AC47-AF47-AG47</f>
        <v/>
      </c>
      <c r="AI47" s="17">
        <f>AI46+AH47</f>
        <v/>
      </c>
    </row>
    <row r="48">
      <c r="A48" s="4" t="n">
        <v>35</v>
      </c>
      <c r="B48" s="4" t="n">
        <v>3</v>
      </c>
      <c r="C48" s="4">
        <f>ROUND(B$5*Stagionalità!$B$2,0)</f>
        <v/>
      </c>
      <c r="D48" s="17">
        <f>C48*'Conti per prodotto'!$B$10</f>
        <v/>
      </c>
      <c r="E48" s="17">
        <f>C48*'Conti per prodotto'!$I$10</f>
        <v/>
      </c>
      <c r="F48" s="17">
        <f>D48-E48</f>
        <v/>
      </c>
      <c r="G48" s="17">
        <f>C48*'Conti per prodotto'!$O$10</f>
        <v/>
      </c>
      <c r="H48" s="17">
        <f>'Costi B2Brand'!$E$10</f>
        <v/>
      </c>
      <c r="I48" s="17">
        <f>B$9</f>
        <v/>
      </c>
      <c r="J48" s="17">
        <f>E48-H48-I48</f>
        <v/>
      </c>
      <c r="K48" s="17">
        <f>K47+J48</f>
        <v/>
      </c>
      <c r="M48" s="4" t="n">
        <v>35</v>
      </c>
      <c r="N48" s="4" t="n">
        <v>3</v>
      </c>
      <c r="O48" s="4">
        <f>ROUND(C$5*Stagionalità!$B$2,0)</f>
        <v/>
      </c>
      <c r="P48" s="17">
        <f>O48*'Conti per prodotto'!$B$10</f>
        <v/>
      </c>
      <c r="Q48" s="17">
        <f>O48*'Conti per prodotto'!$I$10</f>
        <v/>
      </c>
      <c r="R48" s="17">
        <f>P48-Q48</f>
        <v/>
      </c>
      <c r="S48" s="17">
        <f>O48*'Conti per prodotto'!$O$10</f>
        <v/>
      </c>
      <c r="T48" s="17">
        <f>'Costi B2Brand'!$E$10</f>
        <v/>
      </c>
      <c r="U48" s="17">
        <f>C$9</f>
        <v/>
      </c>
      <c r="V48" s="17">
        <f>Q48-T48-U48</f>
        <v/>
      </c>
      <c r="W48" s="17">
        <f>W47+V48</f>
        <v/>
      </c>
      <c r="Y48" s="4" t="n">
        <v>35</v>
      </c>
      <c r="Z48" s="4" t="n">
        <v>3</v>
      </c>
      <c r="AA48" s="4">
        <f>ROUND(D$5*Stagionalità!$B$2,0)</f>
        <v/>
      </c>
      <c r="AB48" s="17">
        <f>AA48*'Conti per prodotto'!$B$10</f>
        <v/>
      </c>
      <c r="AC48" s="17">
        <f>AA48*'Conti per prodotto'!$I$10</f>
        <v/>
      </c>
      <c r="AD48" s="17">
        <f>AB48-AC48</f>
        <v/>
      </c>
      <c r="AE48" s="17">
        <f>AA48*'Conti per prodotto'!$O$10</f>
        <v/>
      </c>
      <c r="AF48" s="17">
        <f>'Costi B2Brand'!$E$10</f>
        <v/>
      </c>
      <c r="AG48" s="17">
        <f>D$9</f>
        <v/>
      </c>
      <c r="AH48" s="17">
        <f>AC48-AF48-AG48</f>
        <v/>
      </c>
      <c r="AI48" s="17">
        <f>AI47+AH48</f>
        <v/>
      </c>
    </row>
    <row r="49">
      <c r="A49" s="4" t="n">
        <v>36</v>
      </c>
      <c r="B49" s="4" t="n">
        <v>3</v>
      </c>
      <c r="C49" s="4">
        <f>ROUND(B$5*Stagionalità!$B$3,0)</f>
        <v/>
      </c>
      <c r="D49" s="17">
        <f>C49*'Conti per prodotto'!$B$10</f>
        <v/>
      </c>
      <c r="E49" s="17">
        <f>C49*'Conti per prodotto'!$I$10</f>
        <v/>
      </c>
      <c r="F49" s="17">
        <f>D49-E49</f>
        <v/>
      </c>
      <c r="G49" s="17">
        <f>C49*'Conti per prodotto'!$O$10</f>
        <v/>
      </c>
      <c r="H49" s="17">
        <f>'Costi B2Brand'!$E$10</f>
        <v/>
      </c>
      <c r="I49" s="17">
        <f>B$9</f>
        <v/>
      </c>
      <c r="J49" s="17">
        <f>E49-H49-I49</f>
        <v/>
      </c>
      <c r="K49" s="17">
        <f>K48+J49</f>
        <v/>
      </c>
      <c r="M49" s="4" t="n">
        <v>36</v>
      </c>
      <c r="N49" s="4" t="n">
        <v>3</v>
      </c>
      <c r="O49" s="4">
        <f>ROUND(C$5*Stagionalità!$B$3,0)</f>
        <v/>
      </c>
      <c r="P49" s="17">
        <f>O49*'Conti per prodotto'!$B$10</f>
        <v/>
      </c>
      <c r="Q49" s="17">
        <f>O49*'Conti per prodotto'!$I$10</f>
        <v/>
      </c>
      <c r="R49" s="17">
        <f>P49-Q49</f>
        <v/>
      </c>
      <c r="S49" s="17">
        <f>O49*'Conti per prodotto'!$O$10</f>
        <v/>
      </c>
      <c r="T49" s="17">
        <f>'Costi B2Brand'!$E$10</f>
        <v/>
      </c>
      <c r="U49" s="17">
        <f>C$9</f>
        <v/>
      </c>
      <c r="V49" s="17">
        <f>Q49-T49-U49</f>
        <v/>
      </c>
      <c r="W49" s="17">
        <f>W48+V49</f>
        <v/>
      </c>
      <c r="Y49" s="4" t="n">
        <v>36</v>
      </c>
      <c r="Z49" s="4" t="n">
        <v>3</v>
      </c>
      <c r="AA49" s="4">
        <f>ROUND(D$5*Stagionalità!$B$3,0)</f>
        <v/>
      </c>
      <c r="AB49" s="17">
        <f>AA49*'Conti per prodotto'!$B$10</f>
        <v/>
      </c>
      <c r="AC49" s="17">
        <f>AA49*'Conti per prodotto'!$I$10</f>
        <v/>
      </c>
      <c r="AD49" s="17">
        <f>AB49-AC49</f>
        <v/>
      </c>
      <c r="AE49" s="17">
        <f>AA49*'Conti per prodotto'!$O$10</f>
        <v/>
      </c>
      <c r="AF49" s="17">
        <f>'Costi B2Brand'!$E$10</f>
        <v/>
      </c>
      <c r="AG49" s="17">
        <f>D$9</f>
        <v/>
      </c>
      <c r="AH49" s="17">
        <f>AC49-AF49-AG49</f>
        <v/>
      </c>
      <c r="AI49" s="17">
        <f>AI48+AH49</f>
        <v/>
      </c>
    </row>
    <row r="51">
      <c r="A51" s="6" t="inlineStr">
        <is>
          <t>Incasso online 12 mesi</t>
        </is>
      </c>
      <c r="D51" s="18">
        <f>SUM(D14:D25)</f>
        <v/>
      </c>
      <c r="M51" s="6" t="inlineStr">
        <is>
          <t>Incasso online 12 mesi</t>
        </is>
      </c>
      <c r="P51" s="18">
        <f>SUM(P14:P25)</f>
        <v/>
      </c>
      <c r="Y51" s="6" t="inlineStr">
        <is>
          <t>Incasso online 12 mesi</t>
        </is>
      </c>
      <c r="AB51" s="18">
        <f>SUM(AB14:AB25)</f>
        <v/>
      </c>
    </row>
    <row r="52">
      <c r="A52" s="6" t="inlineStr">
        <is>
          <t>Incasso online 36 mesi</t>
        </is>
      </c>
      <c r="D52" s="18">
        <f>SUM(D14:D49)</f>
        <v/>
      </c>
      <c r="M52" s="6" t="inlineStr">
        <is>
          <t>Incasso online 36 mesi</t>
        </is>
      </c>
      <c r="P52" s="18">
        <f>SUM(P14:P49)</f>
        <v/>
      </c>
      <c r="Y52" s="6" t="inlineStr">
        <is>
          <t>Incasso online 36 mesi</t>
        </is>
      </c>
      <c r="AB52" s="18">
        <f>SUM(AB14:AB49)</f>
        <v/>
      </c>
    </row>
    <row r="53">
      <c r="A53" s="6" t="inlineStr">
        <is>
          <t>Ordini 12 mesi</t>
        </is>
      </c>
      <c r="D53" s="18">
        <f>SUM(C14:C25)</f>
        <v/>
      </c>
      <c r="M53" s="6" t="inlineStr">
        <is>
          <t>Ordini 12 mesi</t>
        </is>
      </c>
      <c r="P53" s="18">
        <f>SUM(O14:O25)</f>
        <v/>
      </c>
      <c r="Y53" s="6" t="inlineStr">
        <is>
          <t>Ordini 12 mesi</t>
        </is>
      </c>
      <c r="AB53" s="18">
        <f>SUM(AA14:AA25)</f>
        <v/>
      </c>
    </row>
    <row r="54">
      <c r="A54" s="6" t="inlineStr">
        <is>
          <t>Ordini 36 mesi</t>
        </is>
      </c>
      <c r="D54" s="18">
        <f>SUM(C14:C49)</f>
        <v/>
      </c>
      <c r="M54" s="6" t="inlineStr">
        <is>
          <t>Ordini 36 mesi</t>
        </is>
      </c>
      <c r="P54" s="18">
        <f>SUM(O14:O49)</f>
        <v/>
      </c>
      <c r="Y54" s="6" t="inlineStr">
        <is>
          <t>Ordini 36 mesi</t>
        </is>
      </c>
      <c r="AB54" s="18">
        <f>SUM(AA14:AA49)</f>
        <v/>
      </c>
    </row>
    <row r="55">
      <c r="A55" s="6" t="inlineStr">
        <is>
          <t>Quota B2Brand 12 mesi</t>
        </is>
      </c>
      <c r="D55" s="18">
        <f>SUM(E14:E25)</f>
        <v/>
      </c>
      <c r="M55" s="6" t="inlineStr">
        <is>
          <t>Quota B2Brand 12 mesi</t>
        </is>
      </c>
      <c r="P55" s="18">
        <f>SUM(Q14:Q25)</f>
        <v/>
      </c>
      <c r="Y55" s="6" t="inlineStr">
        <is>
          <t>Quota B2Brand 12 mesi</t>
        </is>
      </c>
      <c r="AB55" s="18">
        <f>SUM(AC14:AC25)</f>
        <v/>
      </c>
    </row>
    <row r="56">
      <c r="A56" s="6" t="inlineStr">
        <is>
          <t>Quota B2Brand 36 mesi</t>
        </is>
      </c>
      <c r="D56" s="18">
        <f>SUM(E14:E49)</f>
        <v/>
      </c>
      <c r="M56" s="6" t="inlineStr">
        <is>
          <t>Quota B2Brand 36 mesi</t>
        </is>
      </c>
      <c r="P56" s="18">
        <f>SUM(Q14:Q49)</f>
        <v/>
      </c>
      <c r="Y56" s="6" t="inlineStr">
        <is>
          <t>Quota B2Brand 36 mesi</t>
        </is>
      </c>
      <c r="AB56" s="18">
        <f>SUM(AC14:AC49)</f>
        <v/>
      </c>
    </row>
    <row r="57">
      <c r="A57" s="6" t="inlineStr">
        <is>
          <t>Costi B2Brand 12 mesi (fissi+adv)</t>
        </is>
      </c>
      <c r="D57" s="18">
        <f>SUM(H14:I25)</f>
        <v/>
      </c>
      <c r="M57" s="6" t="inlineStr">
        <is>
          <t>Costi B2Brand 12 mesi (fissi+adv)</t>
        </is>
      </c>
      <c r="P57" s="18">
        <f>SUM(T14:U25)</f>
        <v/>
      </c>
      <c r="Y57" s="6" t="inlineStr">
        <is>
          <t>Costi B2Brand 12 mesi (fissi+adv)</t>
        </is>
      </c>
      <c r="AB57" s="18">
        <f>SUM(AF14:AG25)</f>
        <v/>
      </c>
    </row>
    <row r="58">
      <c r="A58" s="6" t="inlineStr">
        <is>
          <t>Costi B2Brand 36 mesi (fissi+adv)</t>
        </is>
      </c>
      <c r="D58" s="18">
        <f>SUM(H14:I49)</f>
        <v/>
      </c>
      <c r="M58" s="6" t="inlineStr">
        <is>
          <t>Costi B2Brand 36 mesi (fissi+adv)</t>
        </is>
      </c>
      <c r="P58" s="18">
        <f>SUM(T14:U49)</f>
        <v/>
      </c>
      <c r="Y58" s="6" t="inlineStr">
        <is>
          <t>Costi B2Brand 36 mesi (fissi+adv)</t>
        </is>
      </c>
      <c r="AB58" s="18">
        <f>SUM(AF14:AG49)</f>
        <v/>
      </c>
    </row>
    <row r="59">
      <c r="A59" s="6" t="inlineStr">
        <is>
          <t>Risultato B2Brand 12 mesi</t>
        </is>
      </c>
      <c r="D59" s="18">
        <f>K25</f>
        <v/>
      </c>
      <c r="M59" s="6" t="inlineStr">
        <is>
          <t>Risultato B2Brand 12 mesi</t>
        </is>
      </c>
      <c r="P59" s="18">
        <f>W25</f>
        <v/>
      </c>
      <c r="Y59" s="6" t="inlineStr">
        <is>
          <t>Risultato B2Brand 12 mesi</t>
        </is>
      </c>
      <c r="AB59" s="18">
        <f>AI25</f>
        <v/>
      </c>
    </row>
    <row r="60">
      <c r="A60" s="6" t="inlineStr">
        <is>
          <t>Risultato B2Brand 36 mesi</t>
        </is>
      </c>
      <c r="D60" s="18">
        <f>K49</f>
        <v/>
      </c>
      <c r="M60" s="6" t="inlineStr">
        <is>
          <t>Risultato B2Brand 36 mesi</t>
        </is>
      </c>
      <c r="P60" s="18">
        <f>W49</f>
        <v/>
      </c>
      <c r="Y60" s="6" t="inlineStr">
        <is>
          <t>Risultato B2Brand 36 mesi</t>
        </is>
      </c>
      <c r="AB60" s="18">
        <f>AI49</f>
        <v/>
      </c>
    </row>
    <row r="61">
      <c r="A61" s="6" t="inlineStr">
        <is>
          <t>Margine Kalab 12 mesi</t>
        </is>
      </c>
      <c r="D61" s="18">
        <f>SUM(G14:G25)</f>
        <v/>
      </c>
      <c r="M61" s="6" t="inlineStr">
        <is>
          <t>Margine Kalab 12 mesi</t>
        </is>
      </c>
      <c r="P61" s="18">
        <f>SUM(S14:S25)</f>
        <v/>
      </c>
      <c r="Y61" s="6" t="inlineStr">
        <is>
          <t>Margine Kalab 12 mesi</t>
        </is>
      </c>
      <c r="AB61" s="18">
        <f>SUM(AE14:AE25)</f>
        <v/>
      </c>
    </row>
    <row r="62">
      <c r="A62" s="6" t="inlineStr">
        <is>
          <t>Margine Kalab 36 mesi</t>
        </is>
      </c>
      <c r="D62" s="18">
        <f>SUM(G14:G49)</f>
        <v/>
      </c>
      <c r="M62" s="6" t="inlineStr">
        <is>
          <t>Margine Kalab 36 mesi</t>
        </is>
      </c>
      <c r="P62" s="18">
        <f>SUM(S14:S49)</f>
        <v/>
      </c>
      <c r="Y62" s="6" t="inlineStr">
        <is>
          <t>Margine Kalab 36 mesi</t>
        </is>
      </c>
      <c r="AB62" s="18">
        <f>SUM(AE14:AE49)</f>
        <v/>
      </c>
    </row>
    <row r="63">
      <c r="A63" s="6" t="inlineStr">
        <is>
          <t>Mese di rientro di B2Brand (cumulato ≥ 0 e resta)</t>
        </is>
      </c>
      <c r="D63" s="18">
        <f>IFERROR(INDEX(A14:A49,MATCH(TRUE,INDEX(K14:K49&gt;=0,0),0)),"oltre 36 mesi")</f>
        <v/>
      </c>
      <c r="M63" s="6" t="inlineStr">
        <is>
          <t>Mese di rientro di B2Brand (cumulato ≥ 0 e resta)</t>
        </is>
      </c>
      <c r="P63" s="18">
        <f>IFERROR(INDEX(M14:M49,MATCH(TRUE,INDEX(W14:W49&gt;=0,0),0)),"oltre 36 mesi")</f>
        <v/>
      </c>
      <c r="Y63" s="6" t="inlineStr">
        <is>
          <t>Mese di rientro di B2Brand (cumulato ≥ 0 e resta)</t>
        </is>
      </c>
      <c r="AB63" s="18">
        <f>IFERROR(INDEX(Y14:Y49,MATCH(TRUE,INDEX(AI14:AI49&gt;=0,0),0)),"oltre 36 mesi")</f>
        <v/>
      </c>
    </row>
    <row r="64">
      <c r="A64" s="6" t="inlineStr">
        <is>
          <t>Esposizione massima di B2Brand (€)</t>
        </is>
      </c>
      <c r="D64" s="18">
        <f>MIN(0,MIN(K14:K49))</f>
        <v/>
      </c>
      <c r="M64" s="6" t="inlineStr">
        <is>
          <t>Esposizione massima di B2Brand (€)</t>
        </is>
      </c>
      <c r="P64" s="18">
        <f>MIN(0,MIN(W14:W49))</f>
        <v/>
      </c>
      <c r="Y64" s="6" t="inlineStr">
        <is>
          <t>Esposizione massima di B2Brand (€)</t>
        </is>
      </c>
      <c r="AB64" s="18">
        <f>MIN(0,MIN(AI14:AI49))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80" customWidth="1" min="7" max="7"/>
  </cols>
  <sheetData>
    <row r="1">
      <c r="A1" s="16" t="inlineStr">
        <is>
          <t>Cosa succede a un ordine medio con diversi accordi (scenario medio, anno 1)</t>
        </is>
      </c>
    </row>
    <row r="2" ht="40" customHeight="1">
      <c r="A2" s="3" t="inlineStr">
        <is>
          <t>Accordo</t>
        </is>
      </c>
      <c r="B2" s="3" t="inlineStr">
        <is>
          <t>Base (lordo/netto)</t>
        </is>
      </c>
      <c r="C2" s="3" t="inlineStr">
        <is>
          <t>Quota %</t>
        </is>
      </c>
      <c r="D2" s="3" t="inlineStr">
        <is>
          <t>B2Brand per ordine (€)</t>
        </is>
      </c>
      <c r="E2" s="3" t="inlineStr">
        <is>
          <t>Kalab margine per ordine (€)</t>
        </is>
      </c>
      <c r="F2" s="3" t="inlineStr">
        <is>
          <t>Kalab margine % prezzo</t>
        </is>
      </c>
      <c r="G2" s="3" t="inlineStr">
        <is>
          <t>Commento</t>
        </is>
      </c>
    </row>
    <row r="3">
      <c r="A3" s="4" t="inlineStr">
        <is>
          <t>50% dell'incasso lordo (proposta di Kalab)</t>
        </is>
      </c>
      <c r="B3" s="5" t="inlineStr">
        <is>
          <t>lordo</t>
        </is>
      </c>
      <c r="C3" s="19" t="n">
        <v>0.5</v>
      </c>
      <c r="D3" s="12">
        <f>IF(B3="lordo",'Conti per prodotto'!$H$10,'Conti per prodotto'!$G$10)*C3</f>
        <v/>
      </c>
      <c r="E3" s="12">
        <f>'Conti per prodotto'!$O$10+'Conti per prodotto'!$I$10-D3</f>
        <v/>
      </c>
      <c r="F3" s="20">
        <f>E3/'Conti per prodotto'!$B$10</f>
        <v/>
      </c>
      <c r="G3" t="inlineStr">
        <is>
          <t>Quota su merce + spedizione incassata, IVA inclusa: la lettura letterale di «50% dell'incasso».</t>
        </is>
      </c>
    </row>
    <row r="4">
      <c r="A4" s="4" t="inlineStr">
        <is>
          <t>50% dell'incassato netto (senza IVA, spedizione e commissioni)</t>
        </is>
      </c>
      <c r="B4" s="5" t="inlineStr">
        <is>
          <t>netto</t>
        </is>
      </c>
      <c r="C4" s="19" t="n">
        <v>0.5</v>
      </c>
      <c r="D4" s="12">
        <f>IF(B4="lordo",'Conti per prodotto'!$H$10,'Conti per prodotto'!$G$10)*C4</f>
        <v/>
      </c>
      <c r="E4" s="12">
        <f>'Conti per prodotto'!$O$10+'Conti per prodotto'!$I$10-D4</f>
        <v/>
      </c>
      <c r="F4" s="20">
        <f>E4/'Conti per prodotto'!$B$10</f>
        <v/>
      </c>
      <c r="G4" t="inlineStr">
        <is>
          <t>Stessa percentuale, base più piccola: è la prassi del settore (07 B1e).</t>
        </is>
      </c>
    </row>
    <row r="5">
      <c r="A5" s="4" t="inlineStr">
        <is>
          <t>40% dell'incassato netto</t>
        </is>
      </c>
      <c r="B5" s="5" t="inlineStr">
        <is>
          <t>netto</t>
        </is>
      </c>
      <c r="C5" s="19" t="n">
        <v>0.4</v>
      </c>
      <c r="D5" s="12">
        <f>IF(B5="lordo",'Conti per prodotto'!$H$10,'Conti per prodotto'!$G$10)*C5</f>
        <v/>
      </c>
      <c r="E5" s="12">
        <f>'Conti per prodotto'!$O$10+'Conti per prodotto'!$I$10-D5</f>
        <v/>
      </c>
      <c r="F5" s="20">
        <f>E5/'Conti per prodotto'!$B$10</f>
        <v/>
      </c>
      <c r="G5" t="inlineStr">
        <is>
          <t>Primo scaglione proposto: fino al rientro documentato dell'anticipo di B2Brand.</t>
        </is>
      </c>
    </row>
    <row r="6">
      <c r="A6" s="4" t="inlineStr">
        <is>
          <t>30% dell'incassato netto</t>
        </is>
      </c>
      <c r="B6" s="5" t="inlineStr">
        <is>
          <t>netto</t>
        </is>
      </c>
      <c r="C6" s="19" t="n">
        <v>0.3</v>
      </c>
      <c r="D6" s="12">
        <f>IF(B6="lordo",'Conti per prodotto'!$H$10,'Conti per prodotto'!$G$10)*C6</f>
        <v/>
      </c>
      <c r="E6" s="12">
        <f>'Conti per prodotto'!$O$10+'Conti per prodotto'!$I$10-D6</f>
        <v/>
      </c>
      <c r="F6" s="20">
        <f>E6/'Conti per prodotto'!$B$10</f>
        <v/>
      </c>
      <c r="G6" t="inlineStr">
        <is>
          <t>Secondo scaglione, dopo il rientro. Fascia alta dell'outsourcing italiano (15-30%, 07).</t>
        </is>
      </c>
    </row>
    <row r="7">
      <c r="A7" s="4" t="inlineStr">
        <is>
          <t>20% dell'incassato netto</t>
        </is>
      </c>
      <c r="B7" s="5" t="inlineStr">
        <is>
          <t>netto</t>
        </is>
      </c>
      <c r="C7" s="19" t="n">
        <v>0.2</v>
      </c>
      <c r="D7" s="12">
        <f>IF(B7="lordo",'Conti per prodotto'!$H$10,'Conti per prodotto'!$G$10)*C7</f>
        <v/>
      </c>
      <c r="E7" s="12">
        <f>'Conti per prodotto'!$O$10+'Conti per prodotto'!$I$10-D7</f>
        <v/>
      </c>
      <c r="F7" s="20">
        <f>E7/'Conti per prodotto'!$B$10</f>
        <v/>
      </c>
      <c r="G7" t="inlineStr">
        <is>
          <t>Terzo scaglione sopra una soglia annua. Sotto, B2Brand non copre nemmeno le ore.</t>
        </is>
      </c>
    </row>
    <row r="8">
      <c r="A8" s="4" t="inlineStr">
        <is>
          <t>10% netto sugli ordini B2B passati dal sito</t>
        </is>
      </c>
      <c r="B8" s="5" t="inlineStr">
        <is>
          <t>netto</t>
        </is>
      </c>
      <c r="C8" s="19" t="n">
        <v>0.1</v>
      </c>
      <c r="D8" s="12">
        <f>IF(B8="lordo",'Conti per prodotto'!$H$10,'Conti per prodotto'!$G$10)*C8</f>
        <v/>
      </c>
      <c r="E8" s="12">
        <f>'Conti per prodotto'!$O$10+'Conti per prodotto'!$I$10-D8</f>
        <v/>
      </c>
      <c r="F8" s="20">
        <f>E8/'Conti per prodotto'!$B$10</f>
        <v/>
      </c>
      <c r="G8" t="inlineStr">
        <is>
          <t>Per ristoranti, bar e botteghe che ordinano dal sito con listino riservato: volumi alti, margine basso.</t>
        </is>
      </c>
    </row>
    <row r="10">
      <c r="A10" t="inlineStr">
        <is>
          <t>Lettura: l'ordine medio è quello del foglio Conti (mix di categorie). Il margine di Kalab è dopo prodotto, imballo, spedizione vera e perdite. Per vedere l'effetto sui 36 mesi, cambiare quota e base nel foglio Ipotesi.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2026-10-02T16:26:59Z</dcterms:created>
  <dcterms:modified xmlns:dcterms="http://purl.org/dc/terms/" xmlns:xsi="http://www.w3.org/2001/XMLSchema-instance" xsi:type="dcterms:W3CDTF">2026-10-02T16:26:59Z</dcterms:modified>
</cp:coreProperties>
</file>